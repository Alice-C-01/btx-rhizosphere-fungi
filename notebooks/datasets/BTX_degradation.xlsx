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pt33090-my.sharepoint.com/personal/alice_chernaya_ua_pt/Documents/Thesis/Results/"/>
    </mc:Choice>
  </mc:AlternateContent>
  <xr:revisionPtr revIDLastSave="709" documentId="8_{99FEDB42-4FB9-4DDB-8CDB-03B4C32CA6EB}" xr6:coauthVersionLast="47" xr6:coauthVersionMax="47" xr10:uidLastSave="{511116C9-9BB3-4940-8EC6-C7C361F8A74A}"/>
  <bookViews>
    <workbookView xWindow="2892" yWindow="960" windowWidth="19620" windowHeight="11400" xr2:uid="{253A19C1-44FC-4651-B4AB-4670BA517D7B}"/>
  </bookViews>
  <sheets>
    <sheet name="BTX" sheetId="1" r:id="rId1"/>
    <sheet name="Folha1" sheetId="5" r:id="rId2"/>
    <sheet name="curv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10" i="1"/>
  <c r="N4" i="1"/>
  <c r="P34" i="1"/>
  <c r="S16" i="1"/>
  <c r="S22" i="1"/>
  <c r="S28" i="1"/>
  <c r="S40" i="1"/>
  <c r="S46" i="1"/>
  <c r="S52" i="1"/>
  <c r="S58" i="1"/>
  <c r="S64" i="1"/>
  <c r="R16" i="1"/>
  <c r="R22" i="1"/>
  <c r="R28" i="1"/>
  <c r="R34" i="1"/>
  <c r="R40" i="1"/>
  <c r="R46" i="1"/>
  <c r="R52" i="1"/>
  <c r="R58" i="1"/>
  <c r="R64" i="1"/>
  <c r="Q16" i="1"/>
  <c r="Q22" i="1"/>
  <c r="Q28" i="1"/>
  <c r="Q34" i="1"/>
  <c r="Q40" i="1"/>
  <c r="Q46" i="1"/>
  <c r="Q52" i="1"/>
  <c r="Q58" i="1"/>
  <c r="Q64" i="1"/>
  <c r="S10" i="1"/>
  <c r="R10" i="1"/>
  <c r="V10" i="1"/>
  <c r="V16" i="1"/>
  <c r="V22" i="1"/>
  <c r="V28" i="1"/>
  <c r="V40" i="1"/>
  <c r="V46" i="1"/>
  <c r="V52" i="1"/>
  <c r="V58" i="1"/>
  <c r="V64" i="1"/>
  <c r="U10" i="1"/>
  <c r="U16" i="1"/>
  <c r="U22" i="1"/>
  <c r="U28" i="1"/>
  <c r="U34" i="1"/>
  <c r="U40" i="1"/>
  <c r="U46" i="1"/>
  <c r="U52" i="1"/>
  <c r="U58" i="1"/>
  <c r="U64" i="1"/>
  <c r="O34" i="1"/>
  <c r="N34" i="1"/>
  <c r="T34" i="1" s="1"/>
  <c r="O37" i="1"/>
  <c r="P37" i="1"/>
  <c r="N37" i="1"/>
  <c r="H5" i="1"/>
  <c r="K5" i="1" s="1"/>
  <c r="J69" i="1"/>
  <c r="M69" i="1" s="1"/>
  <c r="I69" i="1"/>
  <c r="L69" i="1" s="1"/>
  <c r="H69" i="1"/>
  <c r="K69" i="1" s="1"/>
  <c r="J68" i="1"/>
  <c r="M68" i="1" s="1"/>
  <c r="I68" i="1"/>
  <c r="L68" i="1" s="1"/>
  <c r="H68" i="1"/>
  <c r="K68" i="1" s="1"/>
  <c r="J67" i="1"/>
  <c r="M67" i="1" s="1"/>
  <c r="I67" i="1"/>
  <c r="L67" i="1" s="1"/>
  <c r="O67" i="1" s="1"/>
  <c r="H67" i="1"/>
  <c r="K67" i="1" s="1"/>
  <c r="N67" i="1" s="1"/>
  <c r="J66" i="1"/>
  <c r="M66" i="1" s="1"/>
  <c r="I66" i="1"/>
  <c r="L66" i="1" s="1"/>
  <c r="H66" i="1"/>
  <c r="K66" i="1" s="1"/>
  <c r="J65" i="1"/>
  <c r="M65" i="1" s="1"/>
  <c r="I65" i="1"/>
  <c r="L65" i="1" s="1"/>
  <c r="H65" i="1"/>
  <c r="K65" i="1" s="1"/>
  <c r="J64" i="1"/>
  <c r="M64" i="1" s="1"/>
  <c r="P64" i="1" s="1"/>
  <c r="I64" i="1"/>
  <c r="L64" i="1" s="1"/>
  <c r="O64" i="1" s="1"/>
  <c r="H64" i="1"/>
  <c r="K64" i="1" s="1"/>
  <c r="N64" i="1" s="1"/>
  <c r="J63" i="1"/>
  <c r="M63" i="1" s="1"/>
  <c r="I63" i="1"/>
  <c r="L63" i="1" s="1"/>
  <c r="H63" i="1"/>
  <c r="K63" i="1" s="1"/>
  <c r="J62" i="1"/>
  <c r="M62" i="1" s="1"/>
  <c r="I62" i="1"/>
  <c r="L62" i="1" s="1"/>
  <c r="H62" i="1"/>
  <c r="K62" i="1" s="1"/>
  <c r="J61" i="1"/>
  <c r="M61" i="1" s="1"/>
  <c r="I61" i="1"/>
  <c r="L61" i="1" s="1"/>
  <c r="O61" i="1" s="1"/>
  <c r="H61" i="1"/>
  <c r="K61" i="1" s="1"/>
  <c r="J60" i="1"/>
  <c r="M60" i="1" s="1"/>
  <c r="I60" i="1"/>
  <c r="L60" i="1" s="1"/>
  <c r="H60" i="1"/>
  <c r="K60" i="1" s="1"/>
  <c r="J59" i="1"/>
  <c r="M59" i="1" s="1"/>
  <c r="I59" i="1"/>
  <c r="L59" i="1" s="1"/>
  <c r="H59" i="1"/>
  <c r="K59" i="1" s="1"/>
  <c r="J58" i="1"/>
  <c r="M58" i="1" s="1"/>
  <c r="I58" i="1"/>
  <c r="L58" i="1" s="1"/>
  <c r="H58" i="1"/>
  <c r="K58" i="1" s="1"/>
  <c r="J57" i="1"/>
  <c r="M57" i="1" s="1"/>
  <c r="I57" i="1"/>
  <c r="L57" i="1" s="1"/>
  <c r="H57" i="1"/>
  <c r="K57" i="1" s="1"/>
  <c r="J56" i="1"/>
  <c r="M56" i="1" s="1"/>
  <c r="I56" i="1"/>
  <c r="L56" i="1" s="1"/>
  <c r="H56" i="1"/>
  <c r="K56" i="1" s="1"/>
  <c r="J55" i="1"/>
  <c r="M55" i="1" s="1"/>
  <c r="I55" i="1"/>
  <c r="L55" i="1" s="1"/>
  <c r="H55" i="1"/>
  <c r="K55" i="1" s="1"/>
  <c r="I20" i="1"/>
  <c r="L20" i="1" s="1"/>
  <c r="H9" i="1"/>
  <c r="K9" i="1" s="1"/>
  <c r="H8" i="1"/>
  <c r="K8" i="1" s="1"/>
  <c r="H7" i="1"/>
  <c r="K7" i="1" s="1"/>
  <c r="J54" i="1"/>
  <c r="M54" i="1" s="1"/>
  <c r="I54" i="1"/>
  <c r="L54" i="1" s="1"/>
  <c r="H54" i="1"/>
  <c r="K54" i="1" s="1"/>
  <c r="J53" i="1"/>
  <c r="M53" i="1" s="1"/>
  <c r="I53" i="1"/>
  <c r="L53" i="1" s="1"/>
  <c r="H53" i="1"/>
  <c r="K53" i="1" s="1"/>
  <c r="J52" i="1"/>
  <c r="M52" i="1" s="1"/>
  <c r="I52" i="1"/>
  <c r="L52" i="1" s="1"/>
  <c r="H52" i="1"/>
  <c r="K52" i="1" s="1"/>
  <c r="J51" i="1"/>
  <c r="M51" i="1" s="1"/>
  <c r="I51" i="1"/>
  <c r="L51" i="1" s="1"/>
  <c r="H51" i="1"/>
  <c r="K51" i="1" s="1"/>
  <c r="J50" i="1"/>
  <c r="M50" i="1" s="1"/>
  <c r="I50" i="1"/>
  <c r="L50" i="1" s="1"/>
  <c r="H50" i="1"/>
  <c r="K50" i="1" s="1"/>
  <c r="J49" i="1"/>
  <c r="M49" i="1" s="1"/>
  <c r="I49" i="1"/>
  <c r="L49" i="1" s="1"/>
  <c r="H49" i="1"/>
  <c r="K49" i="1" s="1"/>
  <c r="N49" i="1" s="1"/>
  <c r="J48" i="1"/>
  <c r="M48" i="1" s="1"/>
  <c r="I48" i="1"/>
  <c r="L48" i="1" s="1"/>
  <c r="H48" i="1"/>
  <c r="K48" i="1" s="1"/>
  <c r="J47" i="1"/>
  <c r="M47" i="1" s="1"/>
  <c r="I47" i="1"/>
  <c r="L47" i="1" s="1"/>
  <c r="H47" i="1"/>
  <c r="K47" i="1" s="1"/>
  <c r="J46" i="1"/>
  <c r="M46" i="1" s="1"/>
  <c r="I46" i="1"/>
  <c r="L46" i="1" s="1"/>
  <c r="H46" i="1"/>
  <c r="K46" i="1" s="1"/>
  <c r="J45" i="1"/>
  <c r="M45" i="1" s="1"/>
  <c r="I45" i="1"/>
  <c r="L45" i="1" s="1"/>
  <c r="H45" i="1"/>
  <c r="K45" i="1" s="1"/>
  <c r="J44" i="1"/>
  <c r="M44" i="1" s="1"/>
  <c r="I44" i="1"/>
  <c r="L44" i="1" s="1"/>
  <c r="H44" i="1"/>
  <c r="K44" i="1" s="1"/>
  <c r="J43" i="1"/>
  <c r="M43" i="1" s="1"/>
  <c r="I43" i="1"/>
  <c r="L43" i="1" s="1"/>
  <c r="H43" i="1"/>
  <c r="K43" i="1" s="1"/>
  <c r="J42" i="1"/>
  <c r="M42" i="1" s="1"/>
  <c r="I42" i="1"/>
  <c r="L42" i="1" s="1"/>
  <c r="H42" i="1"/>
  <c r="K42" i="1" s="1"/>
  <c r="J41" i="1"/>
  <c r="M41" i="1" s="1"/>
  <c r="I41" i="1"/>
  <c r="L41" i="1" s="1"/>
  <c r="H41" i="1"/>
  <c r="K41" i="1" s="1"/>
  <c r="J40" i="1"/>
  <c r="M40" i="1" s="1"/>
  <c r="I40" i="1"/>
  <c r="L40" i="1" s="1"/>
  <c r="H40" i="1"/>
  <c r="K40" i="1" s="1"/>
  <c r="N40" i="1" s="1"/>
  <c r="J39" i="1"/>
  <c r="M39" i="1" s="1"/>
  <c r="I39" i="1"/>
  <c r="L39" i="1" s="1"/>
  <c r="H39" i="1"/>
  <c r="K39" i="1" s="1"/>
  <c r="J38" i="1"/>
  <c r="M38" i="1" s="1"/>
  <c r="I38" i="1"/>
  <c r="L38" i="1" s="1"/>
  <c r="H38" i="1"/>
  <c r="K38" i="1" s="1"/>
  <c r="J37" i="1"/>
  <c r="M37" i="1" s="1"/>
  <c r="I37" i="1"/>
  <c r="L37" i="1" s="1"/>
  <c r="H37" i="1"/>
  <c r="K37" i="1" s="1"/>
  <c r="J36" i="1"/>
  <c r="M36" i="1" s="1"/>
  <c r="I36" i="1"/>
  <c r="L36" i="1" s="1"/>
  <c r="H36" i="1"/>
  <c r="K36" i="1" s="1"/>
  <c r="J35" i="1"/>
  <c r="M35" i="1" s="1"/>
  <c r="I35" i="1"/>
  <c r="L35" i="1" s="1"/>
  <c r="H35" i="1"/>
  <c r="K35" i="1" s="1"/>
  <c r="J34" i="1"/>
  <c r="M34" i="1" s="1"/>
  <c r="I34" i="1"/>
  <c r="L34" i="1" s="1"/>
  <c r="H34" i="1"/>
  <c r="K34" i="1" s="1"/>
  <c r="J33" i="1"/>
  <c r="M33" i="1" s="1"/>
  <c r="I33" i="1"/>
  <c r="L33" i="1" s="1"/>
  <c r="H33" i="1"/>
  <c r="K33" i="1" s="1"/>
  <c r="J32" i="1"/>
  <c r="M32" i="1" s="1"/>
  <c r="I32" i="1"/>
  <c r="L32" i="1" s="1"/>
  <c r="H32" i="1"/>
  <c r="K32" i="1" s="1"/>
  <c r="J31" i="1"/>
  <c r="M31" i="1" s="1"/>
  <c r="I31" i="1"/>
  <c r="L31" i="1" s="1"/>
  <c r="H31" i="1"/>
  <c r="K31" i="1" s="1"/>
  <c r="J4" i="1"/>
  <c r="M4" i="1" s="1"/>
  <c r="I4" i="1"/>
  <c r="L4" i="1" s="1"/>
  <c r="H4" i="1"/>
  <c r="K4" i="1" s="1"/>
  <c r="J29" i="1"/>
  <c r="M29" i="1" s="1"/>
  <c r="J30" i="1"/>
  <c r="M30" i="1" s="1"/>
  <c r="I29" i="1"/>
  <c r="L29" i="1" s="1"/>
  <c r="I30" i="1"/>
  <c r="L30" i="1" s="1"/>
  <c r="H29" i="1"/>
  <c r="K29" i="1" s="1"/>
  <c r="H30" i="1"/>
  <c r="K30" i="1" s="1"/>
  <c r="J5" i="1"/>
  <c r="M5" i="1" s="1"/>
  <c r="J6" i="1"/>
  <c r="M6" i="1" s="1"/>
  <c r="J7" i="1"/>
  <c r="M7" i="1" s="1"/>
  <c r="J8" i="1"/>
  <c r="M8" i="1" s="1"/>
  <c r="J9" i="1"/>
  <c r="M9" i="1" s="1"/>
  <c r="J10" i="1"/>
  <c r="M10" i="1" s="1"/>
  <c r="J11" i="1"/>
  <c r="M11" i="1" s="1"/>
  <c r="J12" i="1"/>
  <c r="M12" i="1" s="1"/>
  <c r="J13" i="1"/>
  <c r="M13" i="1" s="1"/>
  <c r="J14" i="1"/>
  <c r="M14" i="1" s="1"/>
  <c r="J15" i="1"/>
  <c r="M15" i="1" s="1"/>
  <c r="J16" i="1"/>
  <c r="M16" i="1" s="1"/>
  <c r="J17" i="1"/>
  <c r="M17" i="1" s="1"/>
  <c r="J18" i="1"/>
  <c r="M18" i="1" s="1"/>
  <c r="J19" i="1"/>
  <c r="M19" i="1" s="1"/>
  <c r="J20" i="1"/>
  <c r="M20" i="1" s="1"/>
  <c r="J21" i="1"/>
  <c r="M21" i="1" s="1"/>
  <c r="J22" i="1"/>
  <c r="M22" i="1" s="1"/>
  <c r="J23" i="1"/>
  <c r="M23" i="1" s="1"/>
  <c r="J24" i="1"/>
  <c r="M24" i="1" s="1"/>
  <c r="J25" i="1"/>
  <c r="M25" i="1" s="1"/>
  <c r="J26" i="1"/>
  <c r="M26" i="1" s="1"/>
  <c r="J27" i="1"/>
  <c r="M27" i="1" s="1"/>
  <c r="J28" i="1"/>
  <c r="M28" i="1" s="1"/>
  <c r="I5" i="1"/>
  <c r="L5" i="1" s="1"/>
  <c r="I6" i="1"/>
  <c r="L6" i="1" s="1"/>
  <c r="I7" i="1"/>
  <c r="L7" i="1" s="1"/>
  <c r="I8" i="1"/>
  <c r="L8" i="1" s="1"/>
  <c r="I9" i="1"/>
  <c r="L9" i="1" s="1"/>
  <c r="I10" i="1"/>
  <c r="L10" i="1" s="1"/>
  <c r="I11" i="1"/>
  <c r="L11" i="1" s="1"/>
  <c r="I12" i="1"/>
  <c r="L12" i="1" s="1"/>
  <c r="I13" i="1"/>
  <c r="L13" i="1" s="1"/>
  <c r="I14" i="1"/>
  <c r="L14" i="1" s="1"/>
  <c r="I15" i="1"/>
  <c r="L15" i="1" s="1"/>
  <c r="I16" i="1"/>
  <c r="L16" i="1" s="1"/>
  <c r="I17" i="1"/>
  <c r="L17" i="1" s="1"/>
  <c r="I18" i="1"/>
  <c r="L18" i="1" s="1"/>
  <c r="I19" i="1"/>
  <c r="L19" i="1" s="1"/>
  <c r="I21" i="1"/>
  <c r="L21" i="1" s="1"/>
  <c r="I22" i="1"/>
  <c r="L22" i="1" s="1"/>
  <c r="I23" i="1"/>
  <c r="L23" i="1" s="1"/>
  <c r="I24" i="1"/>
  <c r="L24" i="1" s="1"/>
  <c r="I25" i="1"/>
  <c r="L25" i="1" s="1"/>
  <c r="I26" i="1"/>
  <c r="L26" i="1" s="1"/>
  <c r="I27" i="1"/>
  <c r="L27" i="1" s="1"/>
  <c r="I28" i="1"/>
  <c r="L28" i="1" s="1"/>
  <c r="H6" i="1"/>
  <c r="K6" i="1" s="1"/>
  <c r="H10" i="1"/>
  <c r="K10" i="1" s="1"/>
  <c r="H11" i="1"/>
  <c r="K11" i="1" s="1"/>
  <c r="H12" i="1"/>
  <c r="K12" i="1" s="1"/>
  <c r="H13" i="1"/>
  <c r="K13" i="1" s="1"/>
  <c r="H14" i="1"/>
  <c r="K14" i="1" s="1"/>
  <c r="H15" i="1"/>
  <c r="K15" i="1" s="1"/>
  <c r="H16" i="1"/>
  <c r="K16" i="1" s="1"/>
  <c r="H17" i="1"/>
  <c r="K17" i="1" s="1"/>
  <c r="H18" i="1"/>
  <c r="K18" i="1" s="1"/>
  <c r="H19" i="1"/>
  <c r="K19" i="1" s="1"/>
  <c r="H20" i="1"/>
  <c r="K20" i="1" s="1"/>
  <c r="H21" i="1"/>
  <c r="K21" i="1" s="1"/>
  <c r="H22" i="1"/>
  <c r="K22" i="1" s="1"/>
  <c r="H23" i="1"/>
  <c r="K23" i="1" s="1"/>
  <c r="H24" i="1"/>
  <c r="K24" i="1" s="1"/>
  <c r="H25" i="1"/>
  <c r="K25" i="1" s="1"/>
  <c r="H26" i="1"/>
  <c r="K26" i="1" s="1"/>
  <c r="H27" i="1"/>
  <c r="K27" i="1" s="1"/>
  <c r="H28" i="1"/>
  <c r="K28" i="1" s="1"/>
  <c r="S34" i="1" l="1"/>
  <c r="V34" i="1"/>
  <c r="T64" i="1"/>
  <c r="T40" i="1"/>
  <c r="P67" i="1"/>
  <c r="N7" i="1"/>
  <c r="N46" i="1"/>
  <c r="O46" i="1"/>
  <c r="P46" i="1"/>
  <c r="O7" i="1"/>
  <c r="N10" i="1"/>
  <c r="N13" i="1"/>
  <c r="N22" i="1"/>
  <c r="N25" i="1"/>
  <c r="O52" i="1"/>
  <c r="N52" i="1"/>
  <c r="O43" i="1"/>
  <c r="N43" i="1"/>
  <c r="O13" i="1"/>
  <c r="P55" i="1"/>
  <c r="P52" i="1"/>
  <c r="P49" i="1"/>
  <c r="O49" i="1"/>
  <c r="O10" i="1"/>
  <c r="O16" i="1"/>
  <c r="O19" i="1"/>
  <c r="O22" i="1"/>
  <c r="O25" i="1"/>
  <c r="N28" i="1"/>
  <c r="P61" i="1"/>
  <c r="N61" i="1"/>
  <c r="P58" i="1"/>
  <c r="O58" i="1"/>
  <c r="N58" i="1"/>
  <c r="O55" i="1"/>
  <c r="N55" i="1"/>
  <c r="P43" i="1"/>
  <c r="P40" i="1"/>
  <c r="O40" i="1"/>
  <c r="P31" i="1"/>
  <c r="O31" i="1"/>
  <c r="N31" i="1"/>
  <c r="P4" i="1"/>
  <c r="V4" i="1" s="1"/>
  <c r="P10" i="1"/>
  <c r="P13" i="1"/>
  <c r="P16" i="1"/>
  <c r="P19" i="1"/>
  <c r="P22" i="1"/>
  <c r="P25" i="1"/>
  <c r="P28" i="1"/>
  <c r="O4" i="1"/>
  <c r="U4" i="1" s="1"/>
  <c r="O28" i="1"/>
  <c r="N16" i="1"/>
  <c r="N19" i="1"/>
  <c r="P7" i="1"/>
  <c r="T4" i="1" l="1"/>
  <c r="T46" i="1"/>
  <c r="T10" i="1"/>
  <c r="T22" i="1"/>
  <c r="T52" i="1"/>
  <c r="T28" i="1"/>
  <c r="T58" i="1"/>
  <c r="T16" i="1"/>
  <c r="R4" i="1"/>
  <c r="S4" i="1"/>
</calcChain>
</file>

<file path=xl/sharedStrings.xml><?xml version="1.0" encoding="utf-8"?>
<sst xmlns="http://schemas.openxmlformats.org/spreadsheetml/2006/main" count="73" uniqueCount="55">
  <si>
    <t>Sample</t>
  </si>
  <si>
    <t>Rep</t>
  </si>
  <si>
    <t>CN (t0)</t>
  </si>
  <si>
    <t>CN (tf)</t>
  </si>
  <si>
    <t>SA3.5 (t0)</t>
  </si>
  <si>
    <t>SA3.5 (tf)</t>
  </si>
  <si>
    <t>SA2.1 (t0)</t>
  </si>
  <si>
    <t>SA2.1 (tf)</t>
  </si>
  <si>
    <t>SA2.7 (t0)</t>
  </si>
  <si>
    <t>SA2.7 (tf)</t>
  </si>
  <si>
    <t>Benzene (B)</t>
  </si>
  <si>
    <t>Toluene (T)</t>
  </si>
  <si>
    <t>Xylene (X)</t>
  </si>
  <si>
    <t>ISTD</t>
  </si>
  <si>
    <t>B</t>
  </si>
  <si>
    <t>T</t>
  </si>
  <si>
    <t>X</t>
  </si>
  <si>
    <t>B/ISTD</t>
  </si>
  <si>
    <t>T/ISTD</t>
  </si>
  <si>
    <t>X/ISTD</t>
  </si>
  <si>
    <t>Correction</t>
  </si>
  <si>
    <t>SZ2.1 (t0)</t>
  </si>
  <si>
    <t>SZ2.1 (tf)</t>
  </si>
  <si>
    <t>SA3.7 (t0)</t>
  </si>
  <si>
    <t>SA3.7 (tf)</t>
  </si>
  <si>
    <t>SA2.6 (t0)</t>
  </si>
  <si>
    <t>SA2.6 (tf)</t>
  </si>
  <si>
    <t>SA1.4 (t0)</t>
  </si>
  <si>
    <t>SA1.4 (tf)</t>
  </si>
  <si>
    <t>SA1.3 (t0)</t>
  </si>
  <si>
    <t>SA1.3 (tf)</t>
  </si>
  <si>
    <t>SA3.4 (t0)</t>
  </si>
  <si>
    <t>SA3.4 (tf)</t>
  </si>
  <si>
    <t>Concentration (mg/L)</t>
  </si>
  <si>
    <t>Peak Area (counts)</t>
  </si>
  <si>
    <t>SA3.3 (t0)</t>
  </si>
  <si>
    <t>SA3.3 (tf)</t>
  </si>
  <si>
    <t>Mean Concentration (mg/L)</t>
  </si>
  <si>
    <t>Degradation %</t>
  </si>
  <si>
    <t>CV</t>
  </si>
  <si>
    <t>Benzene</t>
  </si>
  <si>
    <t>Toluene</t>
  </si>
  <si>
    <t>Xilene</t>
  </si>
  <si>
    <t>Xylene</t>
  </si>
  <si>
    <t>Control</t>
  </si>
  <si>
    <t>SA3.5</t>
  </si>
  <si>
    <t>SA2.1</t>
  </si>
  <si>
    <t>SA2.7</t>
  </si>
  <si>
    <t>SZ2.1</t>
  </si>
  <si>
    <t>SA3.7</t>
  </si>
  <si>
    <t>SA3.3</t>
  </si>
  <si>
    <t>SA2.6</t>
  </si>
  <si>
    <t>SA1.4</t>
  </si>
  <si>
    <t>SA1.3</t>
  </si>
  <si>
    <t>SA3.4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</si>
</sst>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2" fontId="1" fillId="2" borderId="6" xfId="0" applyNumberFormat="1" applyFont="1" applyFill="1" applyBorder="1" applyAlignment="1">
      <alignment horizontal="center"/>
    </xf>
    <xf numFmtId="2" fontId="1" fillId="2" borderId="9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1" fillId="2" borderId="12" xfId="0" applyNumberFormat="1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1" fillId="3" borderId="0" xfId="0" applyNumberFormat="1" applyFont="1" applyFill="1" applyAlignment="1">
      <alignment horizontal="center"/>
    </xf>
    <xf numFmtId="2" fontId="1" fillId="3" borderId="9" xfId="0" applyNumberFormat="1" applyFont="1" applyFill="1" applyBorder="1" applyAlignment="1">
      <alignment horizontal="center"/>
    </xf>
    <xf numFmtId="2" fontId="1" fillId="3" borderId="6" xfId="0" applyNumberFormat="1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2" fontId="1" fillId="3" borderId="12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4" borderId="0" xfId="0" applyFill="1"/>
    <xf numFmtId="0" fontId="1" fillId="0" borderId="2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189309</xdr:colOff>
      <xdr:row>16</xdr:row>
      <xdr:rowOff>12431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A2DF5C-B9F1-4A16-88F7-921EF9A5E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3846909" cy="275563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14</xdr:col>
      <xdr:colOff>475846</xdr:colOff>
      <xdr:row>16</xdr:row>
      <xdr:rowOff>12431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FC58893-CF2A-4430-B370-A05D825E2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182880"/>
          <a:ext cx="4133446" cy="27556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22</xdr:col>
      <xdr:colOff>366109</xdr:colOff>
      <xdr:row>16</xdr:row>
      <xdr:rowOff>12431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EB94AED-A13E-4B1A-8F4A-FDC79166B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3600" y="182880"/>
          <a:ext cx="4023709" cy="275563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3220-159B-4292-8946-1E15E920E816}">
  <dimension ref="A2:V69"/>
  <sheetViews>
    <sheetView tabSelected="1" topLeftCell="A32" zoomScale="59" workbookViewId="0">
      <selection activeCell="Q10" sqref="Q10:Q15"/>
    </sheetView>
  </sheetViews>
  <sheetFormatPr defaultRowHeight="14.4" x14ac:dyDescent="0.3"/>
  <cols>
    <col min="2" max="2" width="9.33203125" customWidth="1"/>
    <col min="4" max="7" width="11.33203125" customWidth="1"/>
    <col min="14" max="14" width="12.88671875" customWidth="1"/>
  </cols>
  <sheetData>
    <row r="2" spans="2:22" x14ac:dyDescent="0.3">
      <c r="B2" s="6"/>
      <c r="C2" s="6"/>
      <c r="D2" s="112" t="s">
        <v>34</v>
      </c>
      <c r="E2" s="113"/>
      <c r="F2" s="113"/>
      <c r="G2" s="113"/>
      <c r="H2" s="114" t="s">
        <v>20</v>
      </c>
      <c r="I2" s="115"/>
      <c r="J2" s="116"/>
      <c r="K2" s="84" t="s">
        <v>33</v>
      </c>
      <c r="L2" s="85"/>
      <c r="M2" s="86"/>
      <c r="N2" s="84" t="s">
        <v>37</v>
      </c>
      <c r="O2" s="85"/>
      <c r="P2" s="86"/>
      <c r="Q2" s="84" t="s">
        <v>38</v>
      </c>
      <c r="R2" s="85"/>
      <c r="S2" s="86"/>
      <c r="U2" t="s">
        <v>39</v>
      </c>
    </row>
    <row r="3" spans="2:22" x14ac:dyDescent="0.3">
      <c r="B3" s="7" t="s">
        <v>0</v>
      </c>
      <c r="C3" s="7" t="s">
        <v>1</v>
      </c>
      <c r="D3" s="19" t="s">
        <v>10</v>
      </c>
      <c r="E3" s="20" t="s">
        <v>11</v>
      </c>
      <c r="F3" s="20" t="s">
        <v>12</v>
      </c>
      <c r="G3" s="21" t="s">
        <v>13</v>
      </c>
      <c r="H3" s="20" t="s">
        <v>17</v>
      </c>
      <c r="I3" s="20" t="s">
        <v>18</v>
      </c>
      <c r="J3" s="21" t="s">
        <v>19</v>
      </c>
      <c r="K3" s="22" t="s">
        <v>14</v>
      </c>
      <c r="L3" s="4" t="s">
        <v>15</v>
      </c>
      <c r="M3" s="22" t="s">
        <v>16</v>
      </c>
      <c r="N3" s="67" t="s">
        <v>14</v>
      </c>
      <c r="O3" s="20" t="s">
        <v>15</v>
      </c>
      <c r="P3" s="67" t="s">
        <v>16</v>
      </c>
      <c r="Q3" s="67" t="s">
        <v>14</v>
      </c>
      <c r="R3" s="20" t="s">
        <v>15</v>
      </c>
      <c r="S3" s="67" t="s">
        <v>16</v>
      </c>
      <c r="T3" s="71" t="s">
        <v>14</v>
      </c>
      <c r="U3" s="71" t="s">
        <v>15</v>
      </c>
      <c r="V3" s="71" t="s">
        <v>16</v>
      </c>
    </row>
    <row r="4" spans="2:22" x14ac:dyDescent="0.3">
      <c r="B4" s="109" t="s">
        <v>2</v>
      </c>
      <c r="C4" s="64">
        <v>1</v>
      </c>
      <c r="D4" s="38">
        <v>62264</v>
      </c>
      <c r="E4" s="39">
        <v>60231</v>
      </c>
      <c r="F4" s="39">
        <v>62826</v>
      </c>
      <c r="G4" s="39">
        <v>1451063</v>
      </c>
      <c r="H4" s="33">
        <f>D4/G4</f>
        <v>4.2909232748681483E-2</v>
      </c>
      <c r="I4" s="34">
        <f>E4/G4</f>
        <v>4.1508190891780712E-2</v>
      </c>
      <c r="J4" s="35">
        <f>F4/G4</f>
        <v>4.3296535022945247E-2</v>
      </c>
      <c r="K4" s="61">
        <f>(H4+0.0019)/0.0033</f>
        <v>13.578555378388328</v>
      </c>
      <c r="L4" s="60">
        <f t="shared" ref="L4:L30" si="0">(I4-0.0052)/0.002</f>
        <v>18.154095445890356</v>
      </c>
      <c r="M4" s="36">
        <f t="shared" ref="M4:M30" si="1">(J4-0.002)/0.0027</f>
        <v>15.295012971461201</v>
      </c>
      <c r="N4" s="100">
        <f>AVERAGE(K5:K6)</f>
        <v>15.531437256363908</v>
      </c>
      <c r="O4" s="100">
        <f>AVERAGE(L5:L6)</f>
        <v>19.589045169997817</v>
      </c>
      <c r="P4" s="81">
        <f t="shared" ref="P4" si="2">AVERAGE(M4:M6)</f>
        <v>15.267142993870317</v>
      </c>
      <c r="Q4" s="87">
        <f>((N4-N7)/N4)*100</f>
        <v>14.128866393969505</v>
      </c>
      <c r="R4" s="90">
        <f t="shared" ref="R4:S4" si="3">((O4-O7)/O4)*100</f>
        <v>15.992863093612964</v>
      </c>
      <c r="S4" s="93">
        <f t="shared" si="3"/>
        <v>12.914465873893665</v>
      </c>
      <c r="T4" s="87">
        <f>_xlfn.STDEV.S(N4:N9)</f>
        <v>1.5516864477897949</v>
      </c>
      <c r="U4" s="87">
        <f>_xlfn.STDEV.S(O4:O9)</f>
        <v>2.2152588963485358</v>
      </c>
      <c r="V4" s="87">
        <f t="shared" ref="V4" si="4">_xlfn.STDEV.S(P4:P9)</f>
        <v>1.39418120736546</v>
      </c>
    </row>
    <row r="5" spans="2:22" x14ac:dyDescent="0.3">
      <c r="B5" s="110"/>
      <c r="C5" s="53">
        <v>2</v>
      </c>
      <c r="D5" s="38">
        <v>48527</v>
      </c>
      <c r="E5" s="39">
        <v>49332</v>
      </c>
      <c r="F5" s="39">
        <v>43714</v>
      </c>
      <c r="G5" s="39">
        <v>965390</v>
      </c>
      <c r="H5" s="40">
        <f>D5/G5</f>
        <v>5.0266731579983216E-2</v>
      </c>
      <c r="I5" s="41">
        <f t="shared" ref="I5:I30" si="5">E5/G5</f>
        <v>5.1100591470804542E-2</v>
      </c>
      <c r="J5" s="42">
        <f t="shared" ref="J5:J30" si="6">F5/G5</f>
        <v>4.5281181698588135E-2</v>
      </c>
      <c r="K5" s="43">
        <f t="shared" ref="K5:K30" si="7">(H5+0.0019)/0.0033</f>
        <v>15.808100478782793</v>
      </c>
      <c r="L5" s="44">
        <f t="shared" si="0"/>
        <v>22.950295735402268</v>
      </c>
      <c r="M5" s="43">
        <f t="shared" si="1"/>
        <v>16.030067295773382</v>
      </c>
      <c r="N5" s="101"/>
      <c r="O5" s="101"/>
      <c r="P5" s="82"/>
      <c r="Q5" s="88"/>
      <c r="R5" s="91"/>
      <c r="S5" s="94"/>
      <c r="T5" s="88"/>
      <c r="U5" s="88"/>
      <c r="V5" s="88"/>
    </row>
    <row r="6" spans="2:22" x14ac:dyDescent="0.3">
      <c r="B6" s="111"/>
      <c r="C6" s="54">
        <v>3</v>
      </c>
      <c r="D6" s="45">
        <v>68611</v>
      </c>
      <c r="E6" s="46">
        <v>53335</v>
      </c>
      <c r="F6" s="46">
        <v>58194</v>
      </c>
      <c r="G6" s="46">
        <v>1416390</v>
      </c>
      <c r="H6" s="47">
        <f t="shared" ref="H6:H30" si="8">D6/G6</f>
        <v>4.844075431201858E-2</v>
      </c>
      <c r="I6" s="48">
        <f t="shared" si="5"/>
        <v>3.7655589209186734E-2</v>
      </c>
      <c r="J6" s="49">
        <f t="shared" si="6"/>
        <v>4.1086141528816213E-2</v>
      </c>
      <c r="K6" s="50">
        <f>(H6+0.0019)/0.0033</f>
        <v>15.254774033945024</v>
      </c>
      <c r="L6" s="51">
        <f t="shared" si="0"/>
        <v>16.227794604593363</v>
      </c>
      <c r="M6" s="50">
        <f t="shared" si="1"/>
        <v>14.476348714376373</v>
      </c>
      <c r="N6" s="101"/>
      <c r="O6" s="101"/>
      <c r="P6" s="82"/>
      <c r="Q6" s="88"/>
      <c r="R6" s="91"/>
      <c r="S6" s="94"/>
      <c r="T6" s="88"/>
      <c r="U6" s="88"/>
      <c r="V6" s="88"/>
    </row>
    <row r="7" spans="2:22" x14ac:dyDescent="0.3">
      <c r="B7" s="103" t="s">
        <v>3</v>
      </c>
      <c r="C7" s="64">
        <v>1</v>
      </c>
      <c r="D7" s="38">
        <v>133284</v>
      </c>
      <c r="E7" s="39">
        <v>124644</v>
      </c>
      <c r="F7" s="39">
        <v>118845</v>
      </c>
      <c r="G7" s="39">
        <v>2873410</v>
      </c>
      <c r="H7" s="40">
        <f>D7/G7</f>
        <v>4.6385305264476699E-2</v>
      </c>
      <c r="I7" s="41">
        <f t="shared" si="5"/>
        <v>4.3378424937617677E-2</v>
      </c>
      <c r="J7" s="42">
        <f t="shared" si="6"/>
        <v>4.1360265329347362E-2</v>
      </c>
      <c r="K7" s="62">
        <f t="shared" si="7"/>
        <v>14.63191068620506</v>
      </c>
      <c r="L7" s="59">
        <f t="shared" si="0"/>
        <v>19.089212468808839</v>
      </c>
      <c r="M7" s="43">
        <f t="shared" si="1"/>
        <v>14.577876047906429</v>
      </c>
      <c r="N7" s="100">
        <f>AVERAGE(K8:K9)</f>
        <v>13.337021237349049</v>
      </c>
      <c r="O7" s="100">
        <f>AVERAGE(L8:L9)</f>
        <v>16.456195994614063</v>
      </c>
      <c r="P7" s="81">
        <f t="shared" ref="O7:P22" si="9">AVERAGE(M7:M9)</f>
        <v>13.295473022008387</v>
      </c>
      <c r="Q7" s="88"/>
      <c r="R7" s="91"/>
      <c r="S7" s="94"/>
      <c r="T7" s="88"/>
      <c r="U7" s="88"/>
      <c r="V7" s="88"/>
    </row>
    <row r="8" spans="2:22" x14ac:dyDescent="0.3">
      <c r="B8" s="104"/>
      <c r="C8" s="53">
        <v>2</v>
      </c>
      <c r="D8" s="38">
        <v>71503</v>
      </c>
      <c r="E8" s="39">
        <v>70124</v>
      </c>
      <c r="F8" s="39">
        <v>63407</v>
      </c>
      <c r="G8" s="39">
        <v>1717727</v>
      </c>
      <c r="H8" s="40">
        <f>D8/G8</f>
        <v>4.162652156017807E-2</v>
      </c>
      <c r="I8" s="41">
        <f t="shared" si="5"/>
        <v>4.0823716457853897E-2</v>
      </c>
      <c r="J8" s="42">
        <f t="shared" si="6"/>
        <v>3.6913316260383633E-2</v>
      </c>
      <c r="K8" s="43">
        <f t="shared" si="7"/>
        <v>13.189855018235779</v>
      </c>
      <c r="L8" s="44">
        <f t="shared" si="0"/>
        <v>17.811858228926948</v>
      </c>
      <c r="M8" s="43">
        <f t="shared" si="1"/>
        <v>12.930857874216159</v>
      </c>
      <c r="N8" s="101"/>
      <c r="O8" s="101"/>
      <c r="P8" s="82"/>
      <c r="Q8" s="88"/>
      <c r="R8" s="91"/>
      <c r="S8" s="94"/>
      <c r="T8" s="88"/>
      <c r="U8" s="88"/>
      <c r="V8" s="88"/>
    </row>
    <row r="9" spans="2:22" x14ac:dyDescent="0.3">
      <c r="B9" s="105"/>
      <c r="C9" s="54">
        <v>3</v>
      </c>
      <c r="D9" s="38">
        <v>84364</v>
      </c>
      <c r="E9" s="39">
        <v>70111</v>
      </c>
      <c r="F9" s="39">
        <v>70148</v>
      </c>
      <c r="G9" s="39">
        <v>1980477</v>
      </c>
      <c r="H9" s="40">
        <f>D9/G9</f>
        <v>4.2597818606325645E-2</v>
      </c>
      <c r="I9" s="41">
        <f t="shared" si="5"/>
        <v>3.5401067520602361E-2</v>
      </c>
      <c r="J9" s="42">
        <f t="shared" si="6"/>
        <v>3.5419749888536953E-2</v>
      </c>
      <c r="K9" s="43">
        <f t="shared" si="7"/>
        <v>13.484187456462317</v>
      </c>
      <c r="L9" s="44">
        <f t="shared" si="0"/>
        <v>15.100533760301181</v>
      </c>
      <c r="M9" s="43">
        <f t="shared" si="1"/>
        <v>12.377685143902573</v>
      </c>
      <c r="N9" s="101"/>
      <c r="O9" s="101"/>
      <c r="P9" s="82"/>
      <c r="Q9" s="89"/>
      <c r="R9" s="92"/>
      <c r="S9" s="95"/>
      <c r="T9" s="89"/>
      <c r="U9" s="89"/>
      <c r="V9" s="89"/>
    </row>
    <row r="10" spans="2:22" x14ac:dyDescent="0.3">
      <c r="B10" s="106" t="s">
        <v>4</v>
      </c>
      <c r="C10" s="8">
        <v>1</v>
      </c>
      <c r="D10" s="16">
        <v>172398</v>
      </c>
      <c r="E10" s="26">
        <v>161588</v>
      </c>
      <c r="F10" s="26">
        <v>135219</v>
      </c>
      <c r="G10" s="26">
        <v>1975093</v>
      </c>
      <c r="H10" s="11">
        <f t="shared" si="8"/>
        <v>8.7286016405303452E-2</v>
      </c>
      <c r="I10" s="12">
        <f t="shared" si="5"/>
        <v>8.1812856407267917E-2</v>
      </c>
      <c r="J10" s="28">
        <f t="shared" si="6"/>
        <v>6.8462092671079292E-2</v>
      </c>
      <c r="K10" s="23">
        <f t="shared" si="7"/>
        <v>27.026065577364683</v>
      </c>
      <c r="L10" s="13">
        <f t="shared" si="0"/>
        <v>38.306428203633956</v>
      </c>
      <c r="M10" s="23">
        <f t="shared" si="1"/>
        <v>24.615589878177513</v>
      </c>
      <c r="N10" s="98">
        <f t="shared" ref="N10" si="10">AVERAGE(K10:K12)</f>
        <v>25.55604737204041</v>
      </c>
      <c r="O10" s="98">
        <f t="shared" si="9"/>
        <v>36.19051634410841</v>
      </c>
      <c r="P10" s="96">
        <f t="shared" si="9"/>
        <v>23.07983458186888</v>
      </c>
      <c r="Q10" s="78">
        <f>((N10-N13)/N10)*100</f>
        <v>14.841628766805817</v>
      </c>
      <c r="R10" s="72">
        <f>((O10-O13)/O10)*100</f>
        <v>12.574336058285308</v>
      </c>
      <c r="S10" s="75">
        <f>((P10-P13)/P10)*100</f>
        <v>16.275742026444277</v>
      </c>
      <c r="T10" s="87">
        <f t="shared" ref="T10:V22" si="11">_xlfn.STDEV.S(N10:N15)</f>
        <v>2.6820091246067594</v>
      </c>
      <c r="U10" s="87">
        <f t="shared" si="11"/>
        <v>3.2178429534366888</v>
      </c>
      <c r="V10" s="87">
        <f t="shared" si="11"/>
        <v>2.6561860504092971</v>
      </c>
    </row>
    <row r="11" spans="2:22" x14ac:dyDescent="0.3">
      <c r="B11" s="107"/>
      <c r="C11" s="9">
        <v>2</v>
      </c>
      <c r="D11" s="17">
        <v>148146</v>
      </c>
      <c r="E11" s="6">
        <v>143262</v>
      </c>
      <c r="F11" s="6">
        <v>116132</v>
      </c>
      <c r="G11" s="6">
        <v>1827066</v>
      </c>
      <c r="H11" s="1">
        <f t="shared" si="8"/>
        <v>8.1084098768188992E-2</v>
      </c>
      <c r="I11" s="3">
        <f t="shared" si="5"/>
        <v>7.8410960523593559E-2</v>
      </c>
      <c r="J11" s="2">
        <f t="shared" si="6"/>
        <v>6.3562016916739739E-2</v>
      </c>
      <c r="K11" s="24">
        <f t="shared" si="7"/>
        <v>25.146696596420906</v>
      </c>
      <c r="L11" s="5">
        <f t="shared" si="0"/>
        <v>36.605480261796778</v>
      </c>
      <c r="M11" s="24">
        <f t="shared" si="1"/>
        <v>22.800747006199902</v>
      </c>
      <c r="N11" s="99"/>
      <c r="O11" s="99"/>
      <c r="P11" s="97"/>
      <c r="Q11" s="79"/>
      <c r="R11" s="73"/>
      <c r="S11" s="76"/>
      <c r="T11" s="88"/>
      <c r="U11" s="88"/>
      <c r="V11" s="88"/>
    </row>
    <row r="12" spans="2:22" x14ac:dyDescent="0.3">
      <c r="B12" s="108"/>
      <c r="C12" s="10">
        <v>3</v>
      </c>
      <c r="D12" s="18">
        <v>142109</v>
      </c>
      <c r="E12" s="27">
        <v>130559</v>
      </c>
      <c r="F12" s="27">
        <v>109681</v>
      </c>
      <c r="G12" s="27">
        <v>1800335</v>
      </c>
      <c r="H12" s="29">
        <f t="shared" si="8"/>
        <v>7.8934753809707645E-2</v>
      </c>
      <c r="I12" s="14">
        <f t="shared" si="5"/>
        <v>7.2519281133788985E-2</v>
      </c>
      <c r="J12" s="30">
        <f t="shared" si="6"/>
        <v>6.0922550525318898E-2</v>
      </c>
      <c r="K12" s="25">
        <f t="shared" si="7"/>
        <v>24.495379942335649</v>
      </c>
      <c r="L12" s="15">
        <f t="shared" si="0"/>
        <v>33.659640566894495</v>
      </c>
      <c r="M12" s="25">
        <f t="shared" si="1"/>
        <v>21.823166861229218</v>
      </c>
      <c r="N12" s="99"/>
      <c r="O12" s="99"/>
      <c r="P12" s="97"/>
      <c r="Q12" s="79"/>
      <c r="R12" s="73"/>
      <c r="S12" s="76"/>
      <c r="T12" s="88"/>
      <c r="U12" s="88"/>
      <c r="V12" s="88"/>
    </row>
    <row r="13" spans="2:22" x14ac:dyDescent="0.3">
      <c r="B13" s="106" t="s">
        <v>5</v>
      </c>
      <c r="C13" s="8">
        <v>1</v>
      </c>
      <c r="D13" s="17">
        <v>196410</v>
      </c>
      <c r="E13" s="6">
        <v>210773</v>
      </c>
      <c r="F13" s="6">
        <v>173981</v>
      </c>
      <c r="G13" s="6">
        <v>2832869</v>
      </c>
      <c r="H13" s="1">
        <f t="shared" si="8"/>
        <v>6.9332538850190389E-2</v>
      </c>
      <c r="I13" s="3">
        <f t="shared" si="5"/>
        <v>7.4402663871855707E-2</v>
      </c>
      <c r="J13" s="2">
        <f t="shared" si="6"/>
        <v>6.1415123678504019E-2</v>
      </c>
      <c r="K13" s="24">
        <f t="shared" si="7"/>
        <v>21.585617833391026</v>
      </c>
      <c r="L13" s="5">
        <f t="shared" si="0"/>
        <v>34.601331935927853</v>
      </c>
      <c r="M13" s="24">
        <f t="shared" si="1"/>
        <v>22.005601362408893</v>
      </c>
      <c r="N13" s="98">
        <f t="shared" ref="N13" si="12">AVERAGE(K13:K15)</f>
        <v>21.763113693613139</v>
      </c>
      <c r="O13" s="98">
        <f t="shared" si="9"/>
        <v>31.639799197771548</v>
      </c>
      <c r="P13" s="96">
        <f t="shared" si="9"/>
        <v>19.323420245193827</v>
      </c>
      <c r="Q13" s="79"/>
      <c r="R13" s="73"/>
      <c r="S13" s="76"/>
      <c r="T13" s="88"/>
      <c r="U13" s="88"/>
      <c r="V13" s="88"/>
    </row>
    <row r="14" spans="2:22" x14ac:dyDescent="0.3">
      <c r="B14" s="107"/>
      <c r="C14" s="9">
        <v>2</v>
      </c>
      <c r="D14" s="17">
        <v>138029</v>
      </c>
      <c r="E14" s="6">
        <v>128550</v>
      </c>
      <c r="F14" s="6">
        <v>97845</v>
      </c>
      <c r="G14" s="6">
        <v>1871660</v>
      </c>
      <c r="H14" s="1">
        <f t="shared" si="8"/>
        <v>7.3746834360941621E-2</v>
      </c>
      <c r="I14" s="3">
        <f t="shared" si="5"/>
        <v>6.8682346152613191E-2</v>
      </c>
      <c r="J14" s="2">
        <f t="shared" si="6"/>
        <v>5.2277122981738137E-2</v>
      </c>
      <c r="K14" s="24">
        <f t="shared" si="7"/>
        <v>22.923283139679278</v>
      </c>
      <c r="L14" s="5">
        <f t="shared" si="0"/>
        <v>31.741173076306598</v>
      </c>
      <c r="M14" s="24">
        <f t="shared" si="1"/>
        <v>18.621156659903011</v>
      </c>
      <c r="N14" s="99"/>
      <c r="O14" s="99"/>
      <c r="P14" s="97"/>
      <c r="Q14" s="79"/>
      <c r="R14" s="73"/>
      <c r="S14" s="76"/>
      <c r="T14" s="88"/>
      <c r="U14" s="88"/>
      <c r="V14" s="88"/>
    </row>
    <row r="15" spans="2:22" x14ac:dyDescent="0.3">
      <c r="B15" s="108"/>
      <c r="C15" s="10">
        <v>3</v>
      </c>
      <c r="D15" s="17">
        <v>134580</v>
      </c>
      <c r="E15" s="6">
        <v>125857</v>
      </c>
      <c r="F15" s="6">
        <v>98555</v>
      </c>
      <c r="G15" s="6">
        <v>2018434</v>
      </c>
      <c r="H15" s="1">
        <f t="shared" si="8"/>
        <v>6.6675452355638085E-2</v>
      </c>
      <c r="I15" s="3">
        <f t="shared" si="5"/>
        <v>6.235378516216037E-2</v>
      </c>
      <c r="J15" s="2">
        <f t="shared" si="6"/>
        <v>4.8827457325827842E-2</v>
      </c>
      <c r="K15" s="24">
        <f t="shared" si="7"/>
        <v>20.780440107769117</v>
      </c>
      <c r="L15" s="5">
        <f t="shared" si="0"/>
        <v>28.576892581080184</v>
      </c>
      <c r="M15" s="24">
        <f t="shared" si="1"/>
        <v>17.343502713269569</v>
      </c>
      <c r="N15" s="99"/>
      <c r="O15" s="99"/>
      <c r="P15" s="97"/>
      <c r="Q15" s="80"/>
      <c r="R15" s="74"/>
      <c r="S15" s="77"/>
      <c r="T15" s="89"/>
      <c r="U15" s="89"/>
      <c r="V15" s="89"/>
    </row>
    <row r="16" spans="2:22" x14ac:dyDescent="0.3">
      <c r="B16" s="103" t="s">
        <v>6</v>
      </c>
      <c r="C16" s="52">
        <v>1</v>
      </c>
      <c r="D16" s="31">
        <v>91234</v>
      </c>
      <c r="E16" s="32">
        <v>76807</v>
      </c>
      <c r="F16" s="32">
        <v>129378</v>
      </c>
      <c r="G16" s="32">
        <v>2002470</v>
      </c>
      <c r="H16" s="33">
        <f t="shared" si="8"/>
        <v>4.5560732495368218E-2</v>
      </c>
      <c r="I16" s="34">
        <f t="shared" si="5"/>
        <v>3.8356130179228655E-2</v>
      </c>
      <c r="J16" s="35">
        <f t="shared" si="6"/>
        <v>6.4609207628578705E-2</v>
      </c>
      <c r="K16" s="36">
        <f t="shared" si="7"/>
        <v>14.382040150111582</v>
      </c>
      <c r="L16" s="37">
        <f t="shared" si="0"/>
        <v>16.578065089614327</v>
      </c>
      <c r="M16" s="36">
        <f t="shared" si="1"/>
        <v>23.188595417992111</v>
      </c>
      <c r="N16" s="100">
        <f>AVERAGE(K16,K18)</f>
        <v>14.690293400425929</v>
      </c>
      <c r="O16" s="100">
        <f>AVERAGE(L16,L18)</f>
        <v>17.42987038188652</v>
      </c>
      <c r="P16" s="81">
        <f t="shared" si="9"/>
        <v>16.32368399472978</v>
      </c>
      <c r="Q16" s="78">
        <f t="shared" ref="Q16:S16" si="13">((N16-N19)/N16)*100</f>
        <v>7.9863117762780513</v>
      </c>
      <c r="R16" s="72">
        <f t="shared" si="13"/>
        <v>9.2345671055349197</v>
      </c>
      <c r="S16" s="75">
        <f t="shared" si="13"/>
        <v>9.518751630018329</v>
      </c>
      <c r="T16" s="87">
        <f t="shared" ref="T16:U16" si="14">_xlfn.STDEV.S(N16:N21)</f>
        <v>0.82958660772516246</v>
      </c>
      <c r="U16" s="87">
        <f t="shared" si="14"/>
        <v>1.138140037436886</v>
      </c>
      <c r="V16" s="87">
        <f t="shared" si="11"/>
        <v>1.0987102497589107</v>
      </c>
    </row>
    <row r="17" spans="2:22" x14ac:dyDescent="0.3">
      <c r="B17" s="104"/>
      <c r="C17" s="65">
        <v>2</v>
      </c>
      <c r="D17" s="38">
        <v>87327</v>
      </c>
      <c r="E17" s="39">
        <v>73103</v>
      </c>
      <c r="F17" s="39">
        <v>67759</v>
      </c>
      <c r="G17" s="39">
        <v>1756250</v>
      </c>
      <c r="H17" s="40">
        <f t="shared" si="8"/>
        <v>4.9723558718861208E-2</v>
      </c>
      <c r="I17" s="41">
        <f t="shared" si="5"/>
        <v>4.1624483985765126E-2</v>
      </c>
      <c r="J17" s="42">
        <f t="shared" si="6"/>
        <v>3.8581637010676156E-2</v>
      </c>
      <c r="K17" s="62">
        <f t="shared" si="7"/>
        <v>15.643502642079154</v>
      </c>
      <c r="L17" s="59">
        <f t="shared" si="0"/>
        <v>18.212241992882564</v>
      </c>
      <c r="M17" s="43">
        <f t="shared" si="1"/>
        <v>13.548754448398576</v>
      </c>
      <c r="N17" s="101"/>
      <c r="O17" s="101"/>
      <c r="P17" s="82"/>
      <c r="Q17" s="79"/>
      <c r="R17" s="73"/>
      <c r="S17" s="76"/>
      <c r="T17" s="88"/>
      <c r="U17" s="88"/>
      <c r="V17" s="88"/>
    </row>
    <row r="18" spans="2:22" x14ac:dyDescent="0.3">
      <c r="B18" s="105"/>
      <c r="C18" s="54">
        <v>3</v>
      </c>
      <c r="D18" s="45">
        <v>96670</v>
      </c>
      <c r="E18" s="46">
        <v>84825</v>
      </c>
      <c r="F18" s="46">
        <v>71151</v>
      </c>
      <c r="G18" s="46">
        <v>2031087</v>
      </c>
      <c r="H18" s="47">
        <f t="shared" si="8"/>
        <v>4.7595203947442918E-2</v>
      </c>
      <c r="I18" s="48">
        <f t="shared" si="5"/>
        <v>4.1763351348317428E-2</v>
      </c>
      <c r="J18" s="49">
        <f t="shared" si="6"/>
        <v>3.5030995718056387E-2</v>
      </c>
      <c r="K18" s="50">
        <f t="shared" si="7"/>
        <v>14.998546650740279</v>
      </c>
      <c r="L18" s="51">
        <f t="shared" si="0"/>
        <v>18.281675674158713</v>
      </c>
      <c r="M18" s="50">
        <f t="shared" si="1"/>
        <v>12.233702117798661</v>
      </c>
      <c r="N18" s="101"/>
      <c r="O18" s="101"/>
      <c r="P18" s="82"/>
      <c r="Q18" s="79"/>
      <c r="R18" s="73"/>
      <c r="S18" s="76"/>
      <c r="T18" s="88"/>
      <c r="U18" s="88"/>
      <c r="V18" s="88"/>
    </row>
    <row r="19" spans="2:22" x14ac:dyDescent="0.3">
      <c r="B19" s="103" t="s">
        <v>7</v>
      </c>
      <c r="C19" s="52">
        <v>1</v>
      </c>
      <c r="D19" s="38">
        <v>87477</v>
      </c>
      <c r="E19" s="39">
        <v>72777</v>
      </c>
      <c r="F19" s="39">
        <v>115207</v>
      </c>
      <c r="G19" s="39">
        <v>2073006</v>
      </c>
      <c r="H19" s="40">
        <f t="shared" si="8"/>
        <v>4.219814124995297E-2</v>
      </c>
      <c r="I19" s="41">
        <f t="shared" si="5"/>
        <v>3.5106989560088106E-2</v>
      </c>
      <c r="J19" s="42">
        <f t="shared" si="6"/>
        <v>5.5574851206412333E-2</v>
      </c>
      <c r="K19" s="43">
        <f t="shared" si="7"/>
        <v>13.363073106046354</v>
      </c>
      <c r="L19" s="44">
        <f t="shared" si="0"/>
        <v>14.953494780044053</v>
      </c>
      <c r="M19" s="43">
        <f t="shared" si="1"/>
        <v>19.842537483856418</v>
      </c>
      <c r="N19" s="100">
        <f>AVERAGE(K19,K21)</f>
        <v>13.517080768617916</v>
      </c>
      <c r="O19" s="100">
        <f>AVERAGE(L19,L21)</f>
        <v>15.820297305063454</v>
      </c>
      <c r="P19" s="81">
        <f t="shared" si="9"/>
        <v>14.769873058402398</v>
      </c>
      <c r="Q19" s="79"/>
      <c r="R19" s="73"/>
      <c r="S19" s="76"/>
      <c r="T19" s="88"/>
      <c r="U19" s="88"/>
      <c r="V19" s="88"/>
    </row>
    <row r="20" spans="2:22" x14ac:dyDescent="0.3">
      <c r="B20" s="104"/>
      <c r="C20" s="65">
        <v>2</v>
      </c>
      <c r="D20" s="38">
        <v>112530</v>
      </c>
      <c r="E20" s="39">
        <v>96110</v>
      </c>
      <c r="F20" s="39">
        <v>82810</v>
      </c>
      <c r="G20" s="39">
        <v>2209186</v>
      </c>
      <c r="H20" s="40">
        <f t="shared" si="8"/>
        <v>5.0937313562551996E-2</v>
      </c>
      <c r="I20" s="41">
        <f>E20/G20</f>
        <v>4.3504711690188151E-2</v>
      </c>
      <c r="J20" s="42">
        <f t="shared" si="6"/>
        <v>3.7484394704655921E-2</v>
      </c>
      <c r="K20" s="62">
        <f t="shared" si="7"/>
        <v>16.011307140167272</v>
      </c>
      <c r="L20" s="59">
        <f t="shared" si="0"/>
        <v>19.152355845094075</v>
      </c>
      <c r="M20" s="43">
        <f t="shared" si="1"/>
        <v>13.142368409131821</v>
      </c>
      <c r="N20" s="101"/>
      <c r="O20" s="101"/>
      <c r="P20" s="82"/>
      <c r="Q20" s="79"/>
      <c r="R20" s="73"/>
      <c r="S20" s="76"/>
      <c r="T20" s="88"/>
      <c r="U20" s="88"/>
      <c r="V20" s="88"/>
    </row>
    <row r="21" spans="2:22" x14ac:dyDescent="0.3">
      <c r="B21" s="105"/>
      <c r="C21" s="54">
        <v>3</v>
      </c>
      <c r="D21" s="38">
        <v>114956</v>
      </c>
      <c r="E21" s="39">
        <v>102612</v>
      </c>
      <c r="F21" s="39">
        <v>86658</v>
      </c>
      <c r="G21" s="39">
        <v>2660120</v>
      </c>
      <c r="H21" s="40">
        <f t="shared" si="8"/>
        <v>4.321459182292528E-2</v>
      </c>
      <c r="I21" s="41">
        <f t="shared" si="5"/>
        <v>3.8574199660165703E-2</v>
      </c>
      <c r="J21" s="42">
        <f t="shared" si="6"/>
        <v>3.2576725861991188E-2</v>
      </c>
      <c r="K21" s="43">
        <f t="shared" si="7"/>
        <v>13.671088431189478</v>
      </c>
      <c r="L21" s="44">
        <f t="shared" si="0"/>
        <v>16.687099830082854</v>
      </c>
      <c r="M21" s="43">
        <f t="shared" si="1"/>
        <v>11.324713282218957</v>
      </c>
      <c r="N21" s="101"/>
      <c r="O21" s="101"/>
      <c r="P21" s="82"/>
      <c r="Q21" s="80"/>
      <c r="R21" s="74"/>
      <c r="S21" s="77"/>
      <c r="T21" s="89"/>
      <c r="U21" s="89"/>
      <c r="V21" s="89"/>
    </row>
    <row r="22" spans="2:22" x14ac:dyDescent="0.3">
      <c r="B22" s="106" t="s">
        <v>8</v>
      </c>
      <c r="C22" s="64">
        <v>1</v>
      </c>
      <c r="D22" s="16">
        <v>115585</v>
      </c>
      <c r="E22" s="26">
        <v>98001</v>
      </c>
      <c r="F22" s="26">
        <v>73209</v>
      </c>
      <c r="G22" s="26">
        <v>2108466</v>
      </c>
      <c r="H22" s="11">
        <f t="shared" si="8"/>
        <v>5.4819475391113731E-2</v>
      </c>
      <c r="I22" s="12">
        <f t="shared" si="5"/>
        <v>4.6479763012540871E-2</v>
      </c>
      <c r="J22" s="28">
        <f t="shared" si="6"/>
        <v>3.472145151973046E-2</v>
      </c>
      <c r="K22" s="23">
        <f t="shared" si="7"/>
        <v>17.187719815489011</v>
      </c>
      <c r="L22" s="13">
        <f t="shared" si="0"/>
        <v>20.639881506270434</v>
      </c>
      <c r="M22" s="61">
        <f t="shared" si="1"/>
        <v>12.119056118418687</v>
      </c>
      <c r="N22" s="98">
        <f t="shared" ref="N22" si="15">AVERAGE(K22:K24)</f>
        <v>15.08008420265493</v>
      </c>
      <c r="O22" s="98">
        <f t="shared" si="9"/>
        <v>18.097559607235251</v>
      </c>
      <c r="P22" s="96">
        <f>AVERAGE(M23:M24)</f>
        <v>12.433521160464043</v>
      </c>
      <c r="Q22" s="78">
        <f t="shared" ref="Q22:S22" si="16">((N22-N25)/N22)*100</f>
        <v>8.7820767902272081</v>
      </c>
      <c r="R22" s="72">
        <f t="shared" si="16"/>
        <v>9.8068425512087476</v>
      </c>
      <c r="S22" s="75">
        <f t="shared" si="16"/>
        <v>6.3787763299099796</v>
      </c>
      <c r="T22" s="87">
        <f t="shared" ref="T22:U22" si="17">_xlfn.STDEV.S(N22:N27)</f>
        <v>0.93645302940369657</v>
      </c>
      <c r="U22" s="87">
        <f t="shared" si="17"/>
        <v>1.2549725328008765</v>
      </c>
      <c r="V22" s="87">
        <f t="shared" si="11"/>
        <v>0.5608109877175631</v>
      </c>
    </row>
    <row r="23" spans="2:22" x14ac:dyDescent="0.3">
      <c r="B23" s="107"/>
      <c r="C23" s="9">
        <v>2</v>
      </c>
      <c r="D23" s="17">
        <v>106325</v>
      </c>
      <c r="E23" s="6">
        <v>88653</v>
      </c>
      <c r="F23" s="6">
        <v>88403</v>
      </c>
      <c r="G23" s="6">
        <v>2474929</v>
      </c>
      <c r="H23" s="1">
        <f t="shared" si="8"/>
        <v>4.2960828371238123E-2</v>
      </c>
      <c r="I23" s="3">
        <f t="shared" si="5"/>
        <v>3.5820421515122249E-2</v>
      </c>
      <c r="J23" s="2">
        <f t="shared" si="6"/>
        <v>3.5719408516365521E-2</v>
      </c>
      <c r="K23" s="24">
        <f t="shared" si="7"/>
        <v>13.594190415526704</v>
      </c>
      <c r="L23" s="5">
        <f t="shared" si="0"/>
        <v>15.310210757561125</v>
      </c>
      <c r="M23" s="24">
        <f t="shared" si="1"/>
        <v>12.488669820876117</v>
      </c>
      <c r="N23" s="99"/>
      <c r="O23" s="99"/>
      <c r="P23" s="97"/>
      <c r="Q23" s="79"/>
      <c r="R23" s="73"/>
      <c r="S23" s="76"/>
      <c r="T23" s="88"/>
      <c r="U23" s="88"/>
      <c r="V23" s="88"/>
    </row>
    <row r="24" spans="2:22" x14ac:dyDescent="0.3">
      <c r="B24" s="108"/>
      <c r="C24" s="10">
        <v>3</v>
      </c>
      <c r="D24" s="17">
        <v>87499</v>
      </c>
      <c r="E24" s="6">
        <v>79998</v>
      </c>
      <c r="F24" s="6">
        <v>67653</v>
      </c>
      <c r="G24" s="6">
        <v>1909936</v>
      </c>
      <c r="H24" s="29">
        <f t="shared" si="8"/>
        <v>4.5812529843931943E-2</v>
      </c>
      <c r="I24" s="14">
        <f t="shared" si="5"/>
        <v>4.1885173115748381E-2</v>
      </c>
      <c r="J24" s="30">
        <f t="shared" si="6"/>
        <v>3.542160575014032E-2</v>
      </c>
      <c r="K24" s="25">
        <f t="shared" si="7"/>
        <v>14.458342376949073</v>
      </c>
      <c r="L24" s="15">
        <f t="shared" si="0"/>
        <v>18.342586557874192</v>
      </c>
      <c r="M24" s="25">
        <f t="shared" si="1"/>
        <v>12.378372500051968</v>
      </c>
      <c r="N24" s="99"/>
      <c r="O24" s="99"/>
      <c r="P24" s="97"/>
      <c r="Q24" s="79"/>
      <c r="R24" s="73"/>
      <c r="S24" s="76"/>
      <c r="T24" s="88"/>
      <c r="U24" s="88"/>
      <c r="V24" s="88"/>
    </row>
    <row r="25" spans="2:22" x14ac:dyDescent="0.3">
      <c r="B25" s="106" t="s">
        <v>9</v>
      </c>
      <c r="C25" s="66">
        <v>1</v>
      </c>
      <c r="D25" s="16">
        <v>105622</v>
      </c>
      <c r="E25" s="26">
        <v>90351</v>
      </c>
      <c r="F25" s="26">
        <v>89428</v>
      </c>
      <c r="G25" s="55">
        <v>2264375</v>
      </c>
      <c r="H25" s="3">
        <f t="shared" si="8"/>
        <v>4.6645100745238754E-2</v>
      </c>
      <c r="I25" s="3">
        <f t="shared" si="5"/>
        <v>3.9901076455975709E-2</v>
      </c>
      <c r="J25" s="2">
        <f t="shared" si="6"/>
        <v>3.9493458459839911E-2</v>
      </c>
      <c r="K25" s="24">
        <f t="shared" si="7"/>
        <v>14.710636589466288</v>
      </c>
      <c r="L25" s="5">
        <f t="shared" si="0"/>
        <v>17.350538227987855</v>
      </c>
      <c r="M25" s="62">
        <f t="shared" si="1"/>
        <v>13.886466096237003</v>
      </c>
      <c r="N25" s="98">
        <f t="shared" ref="N25:P40" si="18">AVERAGE(K25:K27)</f>
        <v>13.755739627946852</v>
      </c>
      <c r="O25" s="98">
        <f t="shared" si="18"/>
        <v>16.322760430942537</v>
      </c>
      <c r="P25" s="96">
        <f>AVERAGE(M26:M27)</f>
        <v>11.640414655706014</v>
      </c>
      <c r="Q25" s="79"/>
      <c r="R25" s="73"/>
      <c r="S25" s="76"/>
      <c r="T25" s="88"/>
      <c r="U25" s="88"/>
      <c r="V25" s="88"/>
    </row>
    <row r="26" spans="2:22" x14ac:dyDescent="0.3">
      <c r="B26" s="107"/>
      <c r="C26" s="17">
        <v>2</v>
      </c>
      <c r="D26" s="17">
        <v>92008</v>
      </c>
      <c r="E26" s="56">
        <v>77791</v>
      </c>
      <c r="F26" s="56">
        <v>75834</v>
      </c>
      <c r="G26" s="57">
        <v>2235137</v>
      </c>
      <c r="H26" s="3">
        <f t="shared" si="8"/>
        <v>4.1164367105908942E-2</v>
      </c>
      <c r="I26" s="3">
        <f t="shared" si="5"/>
        <v>3.4803683174677885E-2</v>
      </c>
      <c r="J26" s="2">
        <f t="shared" si="6"/>
        <v>3.3928121631917864E-2</v>
      </c>
      <c r="K26" s="24">
        <f t="shared" si="7"/>
        <v>13.049808213911801</v>
      </c>
      <c r="L26" s="5">
        <f t="shared" si="0"/>
        <v>14.801841587338943</v>
      </c>
      <c r="M26" s="24">
        <f t="shared" si="1"/>
        <v>11.825230234043651</v>
      </c>
      <c r="N26" s="99"/>
      <c r="O26" s="99"/>
      <c r="P26" s="97"/>
      <c r="Q26" s="79"/>
      <c r="R26" s="73"/>
      <c r="S26" s="76"/>
      <c r="T26" s="88"/>
      <c r="U26" s="88"/>
      <c r="V26" s="88"/>
    </row>
    <row r="27" spans="2:22" x14ac:dyDescent="0.3">
      <c r="B27" s="108"/>
      <c r="C27" s="18">
        <v>3</v>
      </c>
      <c r="D27" s="18">
        <v>86188</v>
      </c>
      <c r="E27" s="27">
        <v>78431</v>
      </c>
      <c r="F27" s="27">
        <v>66511</v>
      </c>
      <c r="G27" s="58">
        <v>2019762</v>
      </c>
      <c r="H27" s="3">
        <f t="shared" si="8"/>
        <v>4.2672354465526134E-2</v>
      </c>
      <c r="I27" s="3">
        <f t="shared" si="5"/>
        <v>3.8831802955001632E-2</v>
      </c>
      <c r="J27" s="2">
        <f t="shared" si="6"/>
        <v>3.2930117508894616E-2</v>
      </c>
      <c r="K27" s="24">
        <f t="shared" si="7"/>
        <v>13.506774080462465</v>
      </c>
      <c r="L27" s="5">
        <f t="shared" si="0"/>
        <v>16.815901477500816</v>
      </c>
      <c r="M27" s="24">
        <f t="shared" si="1"/>
        <v>11.455599077368374</v>
      </c>
      <c r="N27" s="99"/>
      <c r="O27" s="99"/>
      <c r="P27" s="97"/>
      <c r="Q27" s="80"/>
      <c r="R27" s="74"/>
      <c r="S27" s="77"/>
      <c r="T27" s="89"/>
      <c r="U27" s="89"/>
      <c r="V27" s="89"/>
    </row>
    <row r="28" spans="2:22" x14ac:dyDescent="0.3">
      <c r="B28" s="103" t="s">
        <v>21</v>
      </c>
      <c r="C28" s="31">
        <v>1</v>
      </c>
      <c r="D28" s="31">
        <v>91044</v>
      </c>
      <c r="E28" s="32">
        <v>82234</v>
      </c>
      <c r="F28" s="32">
        <v>59178</v>
      </c>
      <c r="G28" s="32">
        <v>1928591</v>
      </c>
      <c r="H28" s="33">
        <f t="shared" si="8"/>
        <v>4.7207520931083886E-2</v>
      </c>
      <c r="I28" s="34">
        <f t="shared" si="5"/>
        <v>4.2639419140709463E-2</v>
      </c>
      <c r="J28" s="35">
        <f t="shared" si="6"/>
        <v>3.0684577497250582E-2</v>
      </c>
      <c r="K28" s="36">
        <f t="shared" si="7"/>
        <v>14.881066948813299</v>
      </c>
      <c r="L28" s="37">
        <f t="shared" si="0"/>
        <v>18.71970957035473</v>
      </c>
      <c r="M28" s="36">
        <f t="shared" si="1"/>
        <v>10.62391759157429</v>
      </c>
      <c r="N28" s="100">
        <f>AVERAGE(K28,K30)</f>
        <v>14.279936519983623</v>
      </c>
      <c r="O28" s="100">
        <f t="shared" ref="O28:P28" si="19">AVERAGE(L28,L30)</f>
        <v>18.523752729558851</v>
      </c>
      <c r="P28" s="81">
        <f t="shared" si="19"/>
        <v>9.9722758740455362</v>
      </c>
      <c r="Q28" s="78">
        <f t="shared" ref="Q28:S28" si="20">((N28-N31)/N28)*100</f>
        <v>5.7605513548782046</v>
      </c>
      <c r="R28" s="72">
        <f t="shared" si="20"/>
        <v>5.8890156985924103</v>
      </c>
      <c r="S28" s="75">
        <f t="shared" si="20"/>
        <v>9.8133063829399205</v>
      </c>
      <c r="T28" s="87">
        <f t="shared" ref="T28:V40" si="21">_xlfn.STDEV.S(N28:N33)</f>
        <v>0.58166821374369382</v>
      </c>
      <c r="U28" s="87">
        <f t="shared" si="21"/>
        <v>0.77135924533325229</v>
      </c>
      <c r="V28" s="87">
        <f t="shared" si="21"/>
        <v>0.69198175643991844</v>
      </c>
    </row>
    <row r="29" spans="2:22" x14ac:dyDescent="0.3">
      <c r="B29" s="104"/>
      <c r="C29" s="63">
        <v>2</v>
      </c>
      <c r="D29" s="38">
        <v>104719</v>
      </c>
      <c r="E29" s="39">
        <v>77283</v>
      </c>
      <c r="F29" s="39">
        <v>55187</v>
      </c>
      <c r="G29" s="39">
        <v>2127498</v>
      </c>
      <c r="H29" s="40">
        <f t="shared" si="8"/>
        <v>4.9221667893459831E-2</v>
      </c>
      <c r="I29" s="41">
        <f t="shared" si="5"/>
        <v>3.632576857886588E-2</v>
      </c>
      <c r="J29" s="42">
        <f t="shared" si="6"/>
        <v>2.5939859872958753E-2</v>
      </c>
      <c r="K29" s="62">
        <f t="shared" si="7"/>
        <v>15.491414513169646</v>
      </c>
      <c r="L29" s="59">
        <f t="shared" si="0"/>
        <v>15.56288428943294</v>
      </c>
      <c r="M29" s="62">
        <f t="shared" si="1"/>
        <v>8.8666147677625009</v>
      </c>
      <c r="N29" s="101"/>
      <c r="O29" s="101"/>
      <c r="P29" s="82"/>
      <c r="Q29" s="79"/>
      <c r="R29" s="73"/>
      <c r="S29" s="76"/>
      <c r="T29" s="88"/>
      <c r="U29" s="88"/>
      <c r="V29" s="88"/>
    </row>
    <row r="30" spans="2:22" x14ac:dyDescent="0.3">
      <c r="B30" s="105"/>
      <c r="C30" s="45">
        <v>3</v>
      </c>
      <c r="D30" s="45">
        <v>94134</v>
      </c>
      <c r="E30" s="46">
        <v>91120</v>
      </c>
      <c r="F30" s="46">
        <v>59140</v>
      </c>
      <c r="G30" s="46">
        <v>2177009</v>
      </c>
      <c r="H30" s="47">
        <f t="shared" si="8"/>
        <v>4.3240060100808032E-2</v>
      </c>
      <c r="I30" s="48">
        <f t="shared" si="5"/>
        <v>4.1855591777525951E-2</v>
      </c>
      <c r="J30" s="49">
        <f t="shared" si="6"/>
        <v>2.7165712222595312E-2</v>
      </c>
      <c r="K30" s="50">
        <f t="shared" si="7"/>
        <v>13.678806091153948</v>
      </c>
      <c r="L30" s="51">
        <f t="shared" si="0"/>
        <v>18.327795888762974</v>
      </c>
      <c r="M30" s="50">
        <f t="shared" si="1"/>
        <v>9.3206341565167818</v>
      </c>
      <c r="N30" s="101"/>
      <c r="O30" s="101"/>
      <c r="P30" s="82"/>
      <c r="Q30" s="79"/>
      <c r="R30" s="73"/>
      <c r="S30" s="76"/>
      <c r="T30" s="88"/>
      <c r="U30" s="88"/>
      <c r="V30" s="88"/>
    </row>
    <row r="31" spans="2:22" x14ac:dyDescent="0.3">
      <c r="B31" s="103" t="s">
        <v>22</v>
      </c>
      <c r="C31" s="31">
        <v>1</v>
      </c>
      <c r="D31" s="31">
        <v>79170</v>
      </c>
      <c r="E31" s="32">
        <v>72351</v>
      </c>
      <c r="F31" s="32">
        <v>52323</v>
      </c>
      <c r="G31" s="32">
        <v>1864357</v>
      </c>
      <c r="H31" s="33">
        <f t="shared" ref="H31:H42" si="22">D31/G31</f>
        <v>4.246504290755472E-2</v>
      </c>
      <c r="I31" s="34">
        <f t="shared" ref="I31:I42" si="23">E31/G31</f>
        <v>3.8807481614304556E-2</v>
      </c>
      <c r="J31" s="35">
        <f t="shared" ref="J31:J42" si="24">F31/G31</f>
        <v>2.8064903878388097E-2</v>
      </c>
      <c r="K31" s="36">
        <f t="shared" ref="K31:K42" si="25">(H31+0.0019)/0.0033</f>
        <v>13.443952396228703</v>
      </c>
      <c r="L31" s="37">
        <f t="shared" ref="L31:L42" si="26">(I31-0.0052)/0.002</f>
        <v>16.80374080715228</v>
      </c>
      <c r="M31" s="36">
        <f t="shared" ref="M31:M42" si="27">(J31-0.002)/0.0027</f>
        <v>9.6536681031067033</v>
      </c>
      <c r="N31" s="100">
        <f>AVERAGE(K31,K33)</f>
        <v>13.457333443305959</v>
      </c>
      <c r="O31" s="100">
        <f t="shared" ref="O31:P31" si="28">AVERAGE(L31,L33)</f>
        <v>17.43288602334669</v>
      </c>
      <c r="P31" s="81">
        <f t="shared" si="28"/>
        <v>8.9936658891734478</v>
      </c>
      <c r="Q31" s="79"/>
      <c r="R31" s="73"/>
      <c r="S31" s="76"/>
      <c r="T31" s="88"/>
      <c r="U31" s="88"/>
      <c r="V31" s="88"/>
    </row>
    <row r="32" spans="2:22" x14ac:dyDescent="0.3">
      <c r="B32" s="104"/>
      <c r="C32" s="63">
        <v>2</v>
      </c>
      <c r="D32" s="38">
        <v>89351</v>
      </c>
      <c r="E32" s="39">
        <v>64110</v>
      </c>
      <c r="F32" s="39">
        <v>45648</v>
      </c>
      <c r="G32" s="39">
        <v>1639451</v>
      </c>
      <c r="H32" s="40">
        <f t="shared" si="22"/>
        <v>5.4500561468442787E-2</v>
      </c>
      <c r="I32" s="41">
        <f t="shared" si="23"/>
        <v>3.9104553902495412E-2</v>
      </c>
      <c r="J32" s="42">
        <f t="shared" si="24"/>
        <v>2.7843467111856347E-2</v>
      </c>
      <c r="K32" s="62">
        <f t="shared" si="25"/>
        <v>17.09107923286145</v>
      </c>
      <c r="L32" s="59">
        <f t="shared" si="26"/>
        <v>16.952276951247708</v>
      </c>
      <c r="M32" s="62">
        <f t="shared" si="27"/>
        <v>9.5716544858727204</v>
      </c>
      <c r="N32" s="101"/>
      <c r="O32" s="101"/>
      <c r="P32" s="82"/>
      <c r="Q32" s="79"/>
      <c r="R32" s="73"/>
      <c r="S32" s="76"/>
      <c r="T32" s="88"/>
      <c r="U32" s="88"/>
      <c r="V32" s="88"/>
    </row>
    <row r="33" spans="1:22" x14ac:dyDescent="0.3">
      <c r="A33" s="70"/>
      <c r="B33" s="105"/>
      <c r="C33" s="45">
        <v>3</v>
      </c>
      <c r="D33" s="45">
        <v>87094</v>
      </c>
      <c r="E33" s="46">
        <v>84578</v>
      </c>
      <c r="F33" s="46">
        <v>50146</v>
      </c>
      <c r="G33" s="46">
        <v>2046701</v>
      </c>
      <c r="H33" s="47">
        <f t="shared" si="22"/>
        <v>4.2553357818264609E-2</v>
      </c>
      <c r="I33" s="48">
        <f t="shared" si="23"/>
        <v>4.1324062479082192E-2</v>
      </c>
      <c r="J33" s="49">
        <f t="shared" si="24"/>
        <v>2.450089192314852E-2</v>
      </c>
      <c r="K33" s="50">
        <f t="shared" si="25"/>
        <v>13.470714490383214</v>
      </c>
      <c r="L33" s="51">
        <f t="shared" si="26"/>
        <v>18.062031239541096</v>
      </c>
      <c r="M33" s="50">
        <f t="shared" si="27"/>
        <v>8.3336636752401922</v>
      </c>
      <c r="N33" s="101"/>
      <c r="O33" s="101"/>
      <c r="P33" s="82"/>
      <c r="Q33" s="80"/>
      <c r="R33" s="74"/>
      <c r="S33" s="77"/>
      <c r="T33" s="89"/>
      <c r="U33" s="89"/>
      <c r="V33" s="89"/>
    </row>
    <row r="34" spans="1:22" x14ac:dyDescent="0.3">
      <c r="A34" s="70"/>
      <c r="B34" s="106" t="s">
        <v>23</v>
      </c>
      <c r="C34" s="16">
        <v>1</v>
      </c>
      <c r="D34" s="16">
        <v>90928</v>
      </c>
      <c r="E34" s="26">
        <v>70212</v>
      </c>
      <c r="F34" s="26">
        <v>77411</v>
      </c>
      <c r="G34" s="26">
        <v>1048984</v>
      </c>
      <c r="H34" s="11">
        <f t="shared" si="22"/>
        <v>8.6681970363704314E-2</v>
      </c>
      <c r="I34" s="12">
        <f t="shared" si="23"/>
        <v>6.6933337400761114E-2</v>
      </c>
      <c r="J34" s="28">
        <f t="shared" si="24"/>
        <v>7.3796168483027391E-2</v>
      </c>
      <c r="K34" s="23">
        <f t="shared" si="25"/>
        <v>26.843021322334639</v>
      </c>
      <c r="L34" s="13">
        <f t="shared" si="26"/>
        <v>30.866668700380558</v>
      </c>
      <c r="M34" s="23">
        <f t="shared" si="27"/>
        <v>26.591173512232366</v>
      </c>
      <c r="N34" s="98">
        <f>AVERAGE(K35:K36)</f>
        <v>13.468496988673458</v>
      </c>
      <c r="O34" s="98">
        <f t="shared" ref="O34" si="29">AVERAGE(L35:L36)</f>
        <v>16.804446176202454</v>
      </c>
      <c r="P34" s="98">
        <f>AVERAGE(M35:M36)</f>
        <v>7.7819774059878242</v>
      </c>
      <c r="Q34" s="78">
        <f t="shared" ref="Q34:R34" si="30">((N34-N37)/N34)*100</f>
        <v>7.4064216415578237</v>
      </c>
      <c r="R34" s="72">
        <f t="shared" si="30"/>
        <v>11.823778923018345</v>
      </c>
      <c r="S34" s="75">
        <f>((P34-P37)/P34)*100</f>
        <v>-10.146615773034402</v>
      </c>
      <c r="T34" s="87">
        <f t="shared" ref="T34:U34" si="31">_xlfn.STDEV.S(N34:N39)</f>
        <v>0.70536282659302307</v>
      </c>
      <c r="U34" s="87">
        <f t="shared" si="31"/>
        <v>1.4049650052695524</v>
      </c>
      <c r="V34" s="87">
        <f t="shared" si="21"/>
        <v>0.55833670948887504</v>
      </c>
    </row>
    <row r="35" spans="1:22" x14ac:dyDescent="0.3">
      <c r="A35" s="70"/>
      <c r="B35" s="107"/>
      <c r="C35" s="63">
        <v>2</v>
      </c>
      <c r="D35" s="17">
        <v>103279</v>
      </c>
      <c r="E35" s="6">
        <v>85383</v>
      </c>
      <c r="F35" s="6">
        <v>39303</v>
      </c>
      <c r="G35" s="6">
        <v>2374137</v>
      </c>
      <c r="H35" s="1">
        <f t="shared" si="22"/>
        <v>4.3501701881567913E-2</v>
      </c>
      <c r="I35" s="3">
        <f t="shared" si="23"/>
        <v>3.5963804953126129E-2</v>
      </c>
      <c r="J35" s="2">
        <f t="shared" si="24"/>
        <v>1.6554647014894255E-2</v>
      </c>
      <c r="K35" s="24">
        <f t="shared" si="25"/>
        <v>13.758091479263003</v>
      </c>
      <c r="L35" s="5">
        <f t="shared" si="26"/>
        <v>15.381902476563065</v>
      </c>
      <c r="M35" s="62">
        <f t="shared" si="27"/>
        <v>5.3906100055163906</v>
      </c>
      <c r="N35" s="99"/>
      <c r="O35" s="99"/>
      <c r="P35" s="99"/>
      <c r="Q35" s="79"/>
      <c r="R35" s="73"/>
      <c r="S35" s="76"/>
      <c r="T35" s="88"/>
      <c r="U35" s="88"/>
      <c r="V35" s="88"/>
    </row>
    <row r="36" spans="1:22" x14ac:dyDescent="0.3">
      <c r="A36" s="70"/>
      <c r="B36" s="108"/>
      <c r="C36" s="18">
        <v>3</v>
      </c>
      <c r="D36" s="18">
        <v>83048</v>
      </c>
      <c r="E36" s="27">
        <v>83175</v>
      </c>
      <c r="F36" s="27">
        <v>58842</v>
      </c>
      <c r="G36" s="27">
        <v>1996808</v>
      </c>
      <c r="H36" s="29">
        <f t="shared" si="22"/>
        <v>4.1590378243676909E-2</v>
      </c>
      <c r="I36" s="14">
        <f t="shared" si="23"/>
        <v>4.1653979751683688E-2</v>
      </c>
      <c r="J36" s="30">
        <f t="shared" si="24"/>
        <v>2.9468030977439993E-2</v>
      </c>
      <c r="K36" s="25">
        <f t="shared" si="25"/>
        <v>13.178902498083911</v>
      </c>
      <c r="L36" s="15">
        <f t="shared" si="26"/>
        <v>18.226989875841841</v>
      </c>
      <c r="M36" s="25">
        <f t="shared" si="27"/>
        <v>10.173344806459257</v>
      </c>
      <c r="N36" s="99"/>
      <c r="O36" s="99"/>
      <c r="P36" s="99"/>
      <c r="Q36" s="79"/>
      <c r="R36" s="73"/>
      <c r="S36" s="76"/>
      <c r="T36" s="88"/>
      <c r="U36" s="88"/>
      <c r="V36" s="88"/>
    </row>
    <row r="37" spans="1:22" x14ac:dyDescent="0.3">
      <c r="A37" s="70"/>
      <c r="B37" s="106" t="s">
        <v>24</v>
      </c>
      <c r="C37" s="16">
        <v>1</v>
      </c>
      <c r="D37" s="16">
        <v>77403</v>
      </c>
      <c r="E37" s="26">
        <v>61769</v>
      </c>
      <c r="F37" s="26">
        <v>64374</v>
      </c>
      <c r="G37" s="26">
        <v>2059964</v>
      </c>
      <c r="H37" s="11">
        <f t="shared" si="22"/>
        <v>3.7574928493896008E-2</v>
      </c>
      <c r="I37" s="12">
        <f t="shared" si="23"/>
        <v>2.9985475474328678E-2</v>
      </c>
      <c r="J37" s="28">
        <f t="shared" si="24"/>
        <v>3.1250060680672091E-2</v>
      </c>
      <c r="K37" s="23">
        <f t="shared" si="25"/>
        <v>11.96209954360485</v>
      </c>
      <c r="L37" s="13">
        <f t="shared" si="26"/>
        <v>12.392737737164339</v>
      </c>
      <c r="M37" s="23">
        <f t="shared" si="27"/>
        <v>10.833355807656329</v>
      </c>
      <c r="N37" s="98">
        <f>AVERAGE(K38:K39)</f>
        <v>12.470963312911783</v>
      </c>
      <c r="O37" s="98">
        <f t="shared" ref="O37:P37" si="32">AVERAGE(L38:L39)</f>
        <v>14.817525611090666</v>
      </c>
      <c r="P37" s="98">
        <f t="shared" si="32"/>
        <v>8.571584752917758</v>
      </c>
      <c r="Q37" s="79"/>
      <c r="R37" s="73"/>
      <c r="S37" s="76"/>
      <c r="T37" s="88"/>
      <c r="U37" s="88"/>
      <c r="V37" s="88"/>
    </row>
    <row r="38" spans="1:22" x14ac:dyDescent="0.3">
      <c r="A38" s="70"/>
      <c r="B38" s="107"/>
      <c r="C38" s="63">
        <v>2</v>
      </c>
      <c r="D38" s="17">
        <v>73152</v>
      </c>
      <c r="E38" s="6">
        <v>60680</v>
      </c>
      <c r="F38" s="6">
        <v>45058</v>
      </c>
      <c r="G38" s="6">
        <v>1861875</v>
      </c>
      <c r="H38" s="1">
        <f t="shared" si="22"/>
        <v>3.9289425981873113E-2</v>
      </c>
      <c r="I38" s="3">
        <f t="shared" si="23"/>
        <v>3.259080228264518E-2</v>
      </c>
      <c r="J38" s="2">
        <f t="shared" si="24"/>
        <v>2.4200335683115141E-2</v>
      </c>
      <c r="K38" s="24">
        <f t="shared" si="25"/>
        <v>12.481644236931245</v>
      </c>
      <c r="L38" s="5">
        <f t="shared" si="26"/>
        <v>13.69540114132259</v>
      </c>
      <c r="M38" s="62">
        <f t="shared" si="27"/>
        <v>8.2223465493019035</v>
      </c>
      <c r="N38" s="99"/>
      <c r="O38" s="99"/>
      <c r="P38" s="99"/>
      <c r="Q38" s="79"/>
      <c r="R38" s="73"/>
      <c r="S38" s="76"/>
      <c r="T38" s="88"/>
      <c r="U38" s="88"/>
      <c r="V38" s="88"/>
    </row>
    <row r="39" spans="1:22" x14ac:dyDescent="0.3">
      <c r="A39" s="70"/>
      <c r="B39" s="108"/>
      <c r="C39" s="18">
        <v>3</v>
      </c>
      <c r="D39" s="18">
        <v>80321</v>
      </c>
      <c r="E39" s="27">
        <v>75939</v>
      </c>
      <c r="F39" s="27">
        <v>53425</v>
      </c>
      <c r="G39" s="27">
        <v>2048016</v>
      </c>
      <c r="H39" s="29">
        <f t="shared" si="22"/>
        <v>3.921893188334466E-2</v>
      </c>
      <c r="I39" s="14">
        <f t="shared" si="23"/>
        <v>3.7079300161717489E-2</v>
      </c>
      <c r="J39" s="30">
        <f t="shared" si="24"/>
        <v>2.608622198264076E-2</v>
      </c>
      <c r="K39" s="25">
        <f t="shared" si="25"/>
        <v>12.46028238889232</v>
      </c>
      <c r="L39" s="15">
        <f t="shared" si="26"/>
        <v>15.939650080858742</v>
      </c>
      <c r="M39" s="25">
        <f t="shared" si="27"/>
        <v>8.9208229565336143</v>
      </c>
      <c r="N39" s="99"/>
      <c r="O39" s="99"/>
      <c r="P39" s="99"/>
      <c r="Q39" s="80"/>
      <c r="R39" s="74"/>
      <c r="S39" s="77"/>
      <c r="T39" s="89"/>
      <c r="U39" s="89"/>
      <c r="V39" s="89"/>
    </row>
    <row r="40" spans="1:22" x14ac:dyDescent="0.3">
      <c r="A40" s="70"/>
      <c r="B40" s="103" t="s">
        <v>25</v>
      </c>
      <c r="C40" s="31">
        <v>1</v>
      </c>
      <c r="D40" s="31">
        <v>176799</v>
      </c>
      <c r="E40" s="32">
        <v>178192</v>
      </c>
      <c r="F40" s="32">
        <v>164436</v>
      </c>
      <c r="G40" s="32">
        <v>2431172</v>
      </c>
      <c r="H40" s="33">
        <f t="shared" si="22"/>
        <v>7.2721716110583701E-2</v>
      </c>
      <c r="I40" s="34">
        <f t="shared" si="23"/>
        <v>7.3294690791108161E-2</v>
      </c>
      <c r="J40" s="35">
        <f t="shared" si="24"/>
        <v>6.7636514405397891E-2</v>
      </c>
      <c r="K40" s="36">
        <f t="shared" si="25"/>
        <v>22.612641245631423</v>
      </c>
      <c r="L40" s="37">
        <f t="shared" si="26"/>
        <v>34.047345395554082</v>
      </c>
      <c r="M40" s="36">
        <f t="shared" si="27"/>
        <v>24.309820150147363</v>
      </c>
      <c r="N40" s="100">
        <f t="shared" ref="N40" si="33">AVERAGE(K40:K42)</f>
        <v>20.882964255807718</v>
      </c>
      <c r="O40" s="100">
        <f t="shared" si="18"/>
        <v>33.142225846461422</v>
      </c>
      <c r="P40" s="81">
        <f t="shared" si="18"/>
        <v>23.263846174943922</v>
      </c>
      <c r="Q40" s="78">
        <f t="shared" ref="Q40:S40" si="34">((N40-N43)/N40)*100</f>
        <v>12.985173375063578</v>
      </c>
      <c r="R40" s="72">
        <f t="shared" si="34"/>
        <v>16.887971942588649</v>
      </c>
      <c r="S40" s="75">
        <f t="shared" si="34"/>
        <v>22.705773001354643</v>
      </c>
      <c r="T40" s="87">
        <f t="shared" ref="T40:U40" si="35">_xlfn.STDEV.S(N40:N45)</f>
        <v>1.9174537613109066</v>
      </c>
      <c r="U40" s="87">
        <f t="shared" si="35"/>
        <v>3.9577118697035698</v>
      </c>
      <c r="V40" s="87">
        <f t="shared" si="21"/>
        <v>3.7351049688728328</v>
      </c>
    </row>
    <row r="41" spans="1:22" x14ac:dyDescent="0.3">
      <c r="A41" s="70"/>
      <c r="B41" s="104"/>
      <c r="C41" s="38">
        <v>2</v>
      </c>
      <c r="D41" s="38">
        <v>139008</v>
      </c>
      <c r="E41" s="39">
        <v>176084</v>
      </c>
      <c r="F41" s="39">
        <v>166913</v>
      </c>
      <c r="G41" s="39">
        <v>2408122</v>
      </c>
      <c r="H41" s="40">
        <f t="shared" si="22"/>
        <v>5.7724650163073134E-2</v>
      </c>
      <c r="I41" s="41">
        <f t="shared" si="23"/>
        <v>7.3120880088301171E-2</v>
      </c>
      <c r="J41" s="42">
        <f t="shared" si="24"/>
        <v>6.9312518219591862E-2</v>
      </c>
      <c r="K41" s="43">
        <f t="shared" si="25"/>
        <v>18.068075806991857</v>
      </c>
      <c r="L41" s="44">
        <f t="shared" si="26"/>
        <v>33.960440044150587</v>
      </c>
      <c r="M41" s="43">
        <f t="shared" si="27"/>
        <v>24.930562303552538</v>
      </c>
      <c r="N41" s="101"/>
      <c r="O41" s="101"/>
      <c r="P41" s="82"/>
      <c r="Q41" s="79"/>
      <c r="R41" s="73"/>
      <c r="S41" s="76"/>
      <c r="T41" s="88"/>
      <c r="U41" s="88"/>
      <c r="V41" s="88"/>
    </row>
    <row r="42" spans="1:22" x14ac:dyDescent="0.3">
      <c r="A42" s="70"/>
      <c r="B42" s="105"/>
      <c r="C42" s="45">
        <v>3</v>
      </c>
      <c r="D42" s="45">
        <v>157743</v>
      </c>
      <c r="E42" s="46">
        <v>152029</v>
      </c>
      <c r="F42" s="46">
        <v>128456</v>
      </c>
      <c r="G42" s="46">
        <v>2234479</v>
      </c>
      <c r="H42" s="47">
        <f t="shared" si="22"/>
        <v>7.0594979858839571E-2</v>
      </c>
      <c r="I42" s="48">
        <f t="shared" si="23"/>
        <v>6.8037784199359227E-2</v>
      </c>
      <c r="J42" s="49">
        <f t="shared" si="24"/>
        <v>5.7488121392056044E-2</v>
      </c>
      <c r="K42" s="50">
        <f t="shared" si="25"/>
        <v>21.96817571479987</v>
      </c>
      <c r="L42" s="51">
        <f t="shared" si="26"/>
        <v>31.418892099679613</v>
      </c>
      <c r="M42" s="50">
        <f t="shared" si="27"/>
        <v>20.551156071131867</v>
      </c>
      <c r="N42" s="101"/>
      <c r="O42" s="101"/>
      <c r="P42" s="82"/>
      <c r="Q42" s="79"/>
      <c r="R42" s="73"/>
      <c r="S42" s="76"/>
      <c r="T42" s="88"/>
      <c r="U42" s="88"/>
      <c r="V42" s="88"/>
    </row>
    <row r="43" spans="1:22" x14ac:dyDescent="0.3">
      <c r="A43" s="70"/>
      <c r="B43" s="103" t="s">
        <v>26</v>
      </c>
      <c r="C43" s="31">
        <v>1</v>
      </c>
      <c r="D43" s="31">
        <v>117234</v>
      </c>
      <c r="E43" s="32">
        <v>113761</v>
      </c>
      <c r="F43" s="32">
        <v>96974</v>
      </c>
      <c r="G43" s="32">
        <v>1979850</v>
      </c>
      <c r="H43" s="33">
        <f t="shared" ref="H43:H48" si="36">D43/G43</f>
        <v>5.9213576786120159E-2</v>
      </c>
      <c r="I43" s="34">
        <f t="shared" ref="I43:I48" si="37">E43/G43</f>
        <v>5.7459403490163395E-2</v>
      </c>
      <c r="J43" s="35">
        <f t="shared" ref="J43:J48" si="38">F43/G43</f>
        <v>4.8980478319064574E-2</v>
      </c>
      <c r="K43" s="36">
        <f t="shared" ref="K43:K48" si="39">(H43+0.0019)/0.0033</f>
        <v>18.519265692763685</v>
      </c>
      <c r="L43" s="37">
        <f t="shared" ref="L43:L48" si="40">(I43-0.0052)/0.002</f>
        <v>26.129701745081697</v>
      </c>
      <c r="M43" s="36">
        <f t="shared" ref="M43:M48" si="41">(J43-0.002)/0.0027</f>
        <v>17.4001771552091</v>
      </c>
      <c r="N43" s="100">
        <f t="shared" ref="N43:P58" si="42">AVERAGE(K43:K45)</f>
        <v>18.17127514133853</v>
      </c>
      <c r="O43" s="100">
        <f t="shared" si="42"/>
        <v>27.545176044361654</v>
      </c>
      <c r="P43" s="81">
        <f t="shared" si="42"/>
        <v>17.98161007107683</v>
      </c>
      <c r="Q43" s="79"/>
      <c r="R43" s="73"/>
      <c r="S43" s="76"/>
      <c r="T43" s="88"/>
      <c r="U43" s="88"/>
      <c r="V43" s="88"/>
    </row>
    <row r="44" spans="1:22" x14ac:dyDescent="0.3">
      <c r="A44" s="70"/>
      <c r="B44" s="104"/>
      <c r="C44" s="38">
        <v>2</v>
      </c>
      <c r="D44" s="38">
        <v>107543</v>
      </c>
      <c r="E44" s="39">
        <v>131605</v>
      </c>
      <c r="F44" s="39">
        <v>113910</v>
      </c>
      <c r="G44" s="39">
        <v>2001748</v>
      </c>
      <c r="H44" s="40">
        <f t="shared" si="36"/>
        <v>5.3724544747890346E-2</v>
      </c>
      <c r="I44" s="41">
        <f t="shared" si="37"/>
        <v>6.5745038836057285E-2</v>
      </c>
      <c r="J44" s="42">
        <f t="shared" si="38"/>
        <v>5.6905264798566051E-2</v>
      </c>
      <c r="K44" s="43">
        <f t="shared" si="39"/>
        <v>16.855922650875861</v>
      </c>
      <c r="L44" s="44">
        <f t="shared" si="40"/>
        <v>30.272519418028644</v>
      </c>
      <c r="M44" s="43">
        <f t="shared" si="41"/>
        <v>20.335283258728165</v>
      </c>
      <c r="N44" s="101"/>
      <c r="O44" s="101"/>
      <c r="P44" s="82"/>
      <c r="Q44" s="79"/>
      <c r="R44" s="73"/>
      <c r="S44" s="76"/>
      <c r="T44" s="88"/>
      <c r="U44" s="88"/>
      <c r="V44" s="88"/>
    </row>
    <row r="45" spans="1:22" x14ac:dyDescent="0.3">
      <c r="A45" s="70"/>
      <c r="B45" s="105"/>
      <c r="C45" s="45">
        <v>3</v>
      </c>
      <c r="D45" s="45">
        <v>123150</v>
      </c>
      <c r="E45" s="46">
        <v>115931</v>
      </c>
      <c r="F45" s="46">
        <v>92005</v>
      </c>
      <c r="G45" s="46">
        <v>2010366</v>
      </c>
      <c r="H45" s="47">
        <f t="shared" si="36"/>
        <v>6.1257502365240954E-2</v>
      </c>
      <c r="I45" s="48">
        <f t="shared" si="37"/>
        <v>5.7666613939949242E-2</v>
      </c>
      <c r="J45" s="49">
        <f t="shared" si="38"/>
        <v>4.5765298458091713E-2</v>
      </c>
      <c r="K45" s="50">
        <f t="shared" si="39"/>
        <v>19.138637080376046</v>
      </c>
      <c r="L45" s="51">
        <f t="shared" si="40"/>
        <v>26.23330696997462</v>
      </c>
      <c r="M45" s="50">
        <f t="shared" si="41"/>
        <v>16.209369799293224</v>
      </c>
      <c r="N45" s="101"/>
      <c r="O45" s="101"/>
      <c r="P45" s="82"/>
      <c r="Q45" s="80"/>
      <c r="R45" s="74"/>
      <c r="S45" s="77"/>
      <c r="T45" s="89"/>
      <c r="U45" s="89"/>
      <c r="V45" s="89"/>
    </row>
    <row r="46" spans="1:22" x14ac:dyDescent="0.3">
      <c r="B46" s="106" t="s">
        <v>27</v>
      </c>
      <c r="C46" s="16">
        <v>1</v>
      </c>
      <c r="D46" s="16">
        <v>78957</v>
      </c>
      <c r="E46" s="26">
        <v>63264</v>
      </c>
      <c r="F46" s="26">
        <v>55057</v>
      </c>
      <c r="G46" s="26">
        <v>1767755</v>
      </c>
      <c r="H46" s="11">
        <f t="shared" si="36"/>
        <v>4.4665126106276036E-2</v>
      </c>
      <c r="I46" s="12">
        <f t="shared" si="37"/>
        <v>3.5787764707213385E-2</v>
      </c>
      <c r="J46" s="28">
        <f t="shared" si="38"/>
        <v>3.1145153033084336E-2</v>
      </c>
      <c r="K46" s="23">
        <f t="shared" si="39"/>
        <v>14.110644274629102</v>
      </c>
      <c r="L46" s="13">
        <f t="shared" si="40"/>
        <v>15.293882353606692</v>
      </c>
      <c r="M46" s="23">
        <f t="shared" si="41"/>
        <v>10.794501123364567</v>
      </c>
      <c r="N46" s="98">
        <f t="shared" ref="N46" si="43">AVERAGE(K46:K48)</f>
        <v>14.853250612073259</v>
      </c>
      <c r="O46" s="98">
        <f t="shared" si="42"/>
        <v>17.600911166477655</v>
      </c>
      <c r="P46" s="96">
        <f t="shared" si="42"/>
        <v>11.137234963542758</v>
      </c>
      <c r="Q46" s="78">
        <f t="shared" ref="Q46:S46" si="44">((N46-N49)/N46)*100</f>
        <v>16.101091898635392</v>
      </c>
      <c r="R46" s="72">
        <f t="shared" si="44"/>
        <v>19.273299222969847</v>
      </c>
      <c r="S46" s="75">
        <f t="shared" si="44"/>
        <v>22.48153737121266</v>
      </c>
      <c r="T46" s="87">
        <f t="shared" ref="T46:V58" si="45">_xlfn.STDEV.S(N46:N51)</f>
        <v>1.6910709914077384</v>
      </c>
      <c r="U46" s="87">
        <f t="shared" si="45"/>
        <v>2.3987015577703725</v>
      </c>
      <c r="V46" s="87">
        <f t="shared" si="45"/>
        <v>1.7704692608428507</v>
      </c>
    </row>
    <row r="47" spans="1:22" x14ac:dyDescent="0.3">
      <c r="B47" s="107"/>
      <c r="C47" s="17">
        <v>2</v>
      </c>
      <c r="D47" s="17">
        <v>99678</v>
      </c>
      <c r="E47" s="6">
        <v>92085</v>
      </c>
      <c r="F47" s="6">
        <v>57866</v>
      </c>
      <c r="G47" s="6">
        <v>2109429</v>
      </c>
      <c r="H47" s="1">
        <f t="shared" si="36"/>
        <v>4.7253545864781414E-2</v>
      </c>
      <c r="I47" s="3">
        <f t="shared" si="37"/>
        <v>4.3653993568875747E-2</v>
      </c>
      <c r="J47" s="2">
        <f t="shared" si="38"/>
        <v>2.743206810942677E-2</v>
      </c>
      <c r="K47" s="24">
        <f t="shared" si="39"/>
        <v>14.895013898418609</v>
      </c>
      <c r="L47" s="5">
        <f t="shared" si="40"/>
        <v>19.226996784437873</v>
      </c>
      <c r="M47" s="24">
        <f t="shared" si="41"/>
        <v>9.4192844849728772</v>
      </c>
      <c r="N47" s="99"/>
      <c r="O47" s="99"/>
      <c r="P47" s="97"/>
      <c r="Q47" s="79"/>
      <c r="R47" s="73"/>
      <c r="S47" s="76"/>
      <c r="T47" s="88"/>
      <c r="U47" s="88"/>
      <c r="V47" s="88"/>
    </row>
    <row r="48" spans="1:22" x14ac:dyDescent="0.3">
      <c r="B48" s="108"/>
      <c r="C48" s="18">
        <v>3</v>
      </c>
      <c r="D48" s="18">
        <v>100130</v>
      </c>
      <c r="E48" s="27">
        <v>84603</v>
      </c>
      <c r="F48" s="27">
        <v>76238</v>
      </c>
      <c r="G48" s="27">
        <v>2025754</v>
      </c>
      <c r="H48" s="29">
        <f t="shared" si="36"/>
        <v>4.9428509088467798E-2</v>
      </c>
      <c r="I48" s="14">
        <f t="shared" si="37"/>
        <v>4.17637087227768E-2</v>
      </c>
      <c r="J48" s="30">
        <f t="shared" si="38"/>
        <v>3.7634382062185244E-2</v>
      </c>
      <c r="K48" s="25">
        <f t="shared" si="39"/>
        <v>15.554093663172059</v>
      </c>
      <c r="L48" s="15">
        <f t="shared" si="40"/>
        <v>18.281854361388397</v>
      </c>
      <c r="M48" s="25">
        <f t="shared" si="41"/>
        <v>13.19791928229083</v>
      </c>
      <c r="N48" s="99"/>
      <c r="O48" s="99"/>
      <c r="P48" s="97"/>
      <c r="Q48" s="79"/>
      <c r="R48" s="73"/>
      <c r="S48" s="76"/>
      <c r="T48" s="88"/>
      <c r="U48" s="88"/>
      <c r="V48" s="88"/>
    </row>
    <row r="49" spans="2:22" x14ac:dyDescent="0.3">
      <c r="B49" s="106" t="s">
        <v>28</v>
      </c>
      <c r="C49" s="16">
        <v>1</v>
      </c>
      <c r="D49" s="16">
        <v>70588</v>
      </c>
      <c r="E49" s="26">
        <v>57149</v>
      </c>
      <c r="F49" s="26">
        <v>46151</v>
      </c>
      <c r="G49" s="26">
        <v>1968377</v>
      </c>
      <c r="H49" s="11">
        <f t="shared" ref="H49:H54" si="46">D49/G49</f>
        <v>3.5861016461785522E-2</v>
      </c>
      <c r="I49" s="12">
        <f t="shared" ref="I49:I54" si="47">E49/G49</f>
        <v>2.9033564200353894E-2</v>
      </c>
      <c r="J49" s="28">
        <f t="shared" ref="J49:J54" si="48">F49/G49</f>
        <v>2.3446219906044421E-2</v>
      </c>
      <c r="K49" s="23">
        <f t="shared" ref="K49:K54" si="49">(H49+0.0019)/0.0033</f>
        <v>11.442732261147128</v>
      </c>
      <c r="L49" s="13">
        <f t="shared" ref="L49:L54" si="50">(I49-0.0052)/0.002</f>
        <v>11.916782100176947</v>
      </c>
      <c r="M49" s="23">
        <f t="shared" ref="M49:M54" si="51">(J49-0.002)/0.0027</f>
        <v>7.9430444096460819</v>
      </c>
      <c r="N49" s="98">
        <f t="shared" ref="N49" si="52">AVERAGE(K49:K51)</f>
        <v>12.46171508108872</v>
      </c>
      <c r="O49" s="98">
        <f t="shared" si="42"/>
        <v>14.208634891393304</v>
      </c>
      <c r="P49" s="96">
        <f t="shared" si="42"/>
        <v>8.6334133230941301</v>
      </c>
      <c r="Q49" s="79"/>
      <c r="R49" s="73"/>
      <c r="S49" s="76"/>
      <c r="T49" s="88"/>
      <c r="U49" s="88"/>
      <c r="V49" s="88"/>
    </row>
    <row r="50" spans="2:22" x14ac:dyDescent="0.3">
      <c r="B50" s="107"/>
      <c r="C50" s="17">
        <v>2</v>
      </c>
      <c r="D50" s="17">
        <v>85021</v>
      </c>
      <c r="E50" s="6">
        <v>77590</v>
      </c>
      <c r="F50" s="6">
        <v>48234</v>
      </c>
      <c r="G50" s="6">
        <v>2120503</v>
      </c>
      <c r="H50" s="1">
        <f t="shared" si="46"/>
        <v>4.0094732240416542E-2</v>
      </c>
      <c r="I50" s="3">
        <f t="shared" si="47"/>
        <v>3.659037501951188E-2</v>
      </c>
      <c r="J50" s="2">
        <f t="shared" si="48"/>
        <v>2.2746489865847867E-2</v>
      </c>
      <c r="K50" s="24">
        <f t="shared" si="49"/>
        <v>12.725676436489861</v>
      </c>
      <c r="L50" s="5">
        <f t="shared" si="50"/>
        <v>15.695187509755938</v>
      </c>
      <c r="M50" s="24">
        <f t="shared" si="51"/>
        <v>7.6838851354992093</v>
      </c>
      <c r="N50" s="99"/>
      <c r="O50" s="99"/>
      <c r="P50" s="97"/>
      <c r="Q50" s="79"/>
      <c r="R50" s="73"/>
      <c r="S50" s="76"/>
      <c r="T50" s="88"/>
      <c r="U50" s="88"/>
      <c r="V50" s="88"/>
    </row>
    <row r="51" spans="2:22" x14ac:dyDescent="0.3">
      <c r="B51" s="108"/>
      <c r="C51" s="18">
        <v>3</v>
      </c>
      <c r="D51" s="18">
        <v>81889</v>
      </c>
      <c r="E51" s="27">
        <v>69154</v>
      </c>
      <c r="F51" s="27">
        <v>58377</v>
      </c>
      <c r="G51" s="27">
        <v>1963048</v>
      </c>
      <c r="H51" s="29">
        <f t="shared" si="46"/>
        <v>4.1715230600576247E-2</v>
      </c>
      <c r="I51" s="14">
        <f t="shared" si="47"/>
        <v>3.5227870128494057E-2</v>
      </c>
      <c r="J51" s="30">
        <f t="shared" si="48"/>
        <v>2.9737938145170163E-2</v>
      </c>
      <c r="K51" s="25">
        <f t="shared" si="49"/>
        <v>13.216736545629166</v>
      </c>
      <c r="L51" s="15">
        <f t="shared" si="50"/>
        <v>15.013935064247029</v>
      </c>
      <c r="M51" s="25">
        <f t="shared" si="51"/>
        <v>10.273310424137097</v>
      </c>
      <c r="N51" s="99"/>
      <c r="O51" s="99"/>
      <c r="P51" s="97"/>
      <c r="Q51" s="80"/>
      <c r="R51" s="74"/>
      <c r="S51" s="77"/>
      <c r="T51" s="89"/>
      <c r="U51" s="89"/>
      <c r="V51" s="89"/>
    </row>
    <row r="52" spans="2:22" x14ac:dyDescent="0.3">
      <c r="B52" s="103" t="s">
        <v>29</v>
      </c>
      <c r="C52" s="31">
        <v>1</v>
      </c>
      <c r="D52" s="31">
        <v>111612</v>
      </c>
      <c r="E52" s="32">
        <v>88198</v>
      </c>
      <c r="F52" s="32">
        <v>90588</v>
      </c>
      <c r="G52" s="32">
        <v>2180020</v>
      </c>
      <c r="H52" s="33">
        <f t="shared" si="46"/>
        <v>5.1197695433986841E-2</v>
      </c>
      <c r="I52" s="34">
        <f t="shared" si="47"/>
        <v>4.0457426996082603E-2</v>
      </c>
      <c r="J52" s="35">
        <f t="shared" si="48"/>
        <v>4.1553747213328315E-2</v>
      </c>
      <c r="K52" s="36">
        <f t="shared" si="49"/>
        <v>16.09021073757177</v>
      </c>
      <c r="L52" s="37">
        <f t="shared" si="50"/>
        <v>17.6287134980413</v>
      </c>
      <c r="M52" s="36">
        <f t="shared" si="51"/>
        <v>14.649536004936412</v>
      </c>
      <c r="N52" s="100">
        <f t="shared" ref="N52" si="53">AVERAGE(K52:K54)</f>
        <v>17.66129272857555</v>
      </c>
      <c r="O52" s="100">
        <f t="shared" si="42"/>
        <v>18.4079524676849</v>
      </c>
      <c r="P52" s="81">
        <f t="shared" si="42"/>
        <v>15.233377806953655</v>
      </c>
      <c r="Q52" s="78">
        <f t="shared" ref="Q52:S52" si="54">((N52-N55)/N52)*100</f>
        <v>22.152317495531985</v>
      </c>
      <c r="R52" s="72">
        <f t="shared" si="54"/>
        <v>14.583066648606552</v>
      </c>
      <c r="S52" s="75">
        <f t="shared" si="54"/>
        <v>16.933872624152198</v>
      </c>
      <c r="T52" s="87">
        <f t="shared" ref="T52:U52" si="55">_xlfn.STDEV.S(N52:N57)</f>
        <v>2.7664744159886849</v>
      </c>
      <c r="U52" s="87">
        <f t="shared" si="55"/>
        <v>1.8981885398565415</v>
      </c>
      <c r="V52" s="87">
        <f t="shared" si="45"/>
        <v>1.8240532143227006</v>
      </c>
    </row>
    <row r="53" spans="2:22" x14ac:dyDescent="0.3">
      <c r="B53" s="104"/>
      <c r="C53" s="38">
        <v>2</v>
      </c>
      <c r="D53" s="38">
        <v>89427</v>
      </c>
      <c r="E53" s="39">
        <v>76497</v>
      </c>
      <c r="F53" s="39">
        <v>80444</v>
      </c>
      <c r="G53" s="39">
        <v>1795141</v>
      </c>
      <c r="H53" s="40">
        <f t="shared" si="46"/>
        <v>4.9816142575987064E-2</v>
      </c>
      <c r="I53" s="41">
        <f t="shared" si="47"/>
        <v>4.2613365746757496E-2</v>
      </c>
      <c r="J53" s="42">
        <f t="shared" si="48"/>
        <v>4.4812078828348305E-2</v>
      </c>
      <c r="K53" s="43">
        <f t="shared" si="49"/>
        <v>15.671558356359716</v>
      </c>
      <c r="L53" s="44">
        <f t="shared" si="50"/>
        <v>18.706682873378746</v>
      </c>
      <c r="M53" s="43">
        <f t="shared" si="51"/>
        <v>15.856325491980853</v>
      </c>
      <c r="N53" s="101"/>
      <c r="O53" s="101"/>
      <c r="P53" s="82"/>
      <c r="Q53" s="79"/>
      <c r="R53" s="73"/>
      <c r="S53" s="76"/>
      <c r="T53" s="88"/>
      <c r="U53" s="88"/>
      <c r="V53" s="88"/>
    </row>
    <row r="54" spans="2:22" x14ac:dyDescent="0.3">
      <c r="B54" s="105"/>
      <c r="C54" s="45">
        <v>3</v>
      </c>
      <c r="D54" s="45">
        <v>141669</v>
      </c>
      <c r="E54" s="46">
        <v>89362</v>
      </c>
      <c r="F54" s="46">
        <v>89461</v>
      </c>
      <c r="G54" s="46">
        <v>2079302</v>
      </c>
      <c r="H54" s="47">
        <f t="shared" si="46"/>
        <v>6.8132960002924056E-2</v>
      </c>
      <c r="I54" s="48">
        <f t="shared" si="47"/>
        <v>4.2976922063269307E-2</v>
      </c>
      <c r="J54" s="49">
        <f t="shared" si="48"/>
        <v>4.3024534194648009E-2</v>
      </c>
      <c r="K54" s="50">
        <f t="shared" si="49"/>
        <v>21.222109091795168</v>
      </c>
      <c r="L54" s="51">
        <f t="shared" si="50"/>
        <v>18.888461031634655</v>
      </c>
      <c r="M54" s="50">
        <f t="shared" si="51"/>
        <v>15.194271923943706</v>
      </c>
      <c r="N54" s="101"/>
      <c r="O54" s="101"/>
      <c r="P54" s="82"/>
      <c r="Q54" s="79"/>
      <c r="R54" s="73"/>
      <c r="S54" s="76"/>
      <c r="T54" s="88"/>
      <c r="U54" s="88"/>
      <c r="V54" s="88"/>
    </row>
    <row r="55" spans="2:22" x14ac:dyDescent="0.3">
      <c r="B55" s="103" t="s">
        <v>30</v>
      </c>
      <c r="C55" s="31">
        <v>1</v>
      </c>
      <c r="D55" s="31">
        <v>104422</v>
      </c>
      <c r="E55" s="32">
        <v>84885</v>
      </c>
      <c r="F55" s="32">
        <v>89886</v>
      </c>
      <c r="G55" s="32">
        <v>2342584</v>
      </c>
      <c r="H55" s="33">
        <f t="shared" ref="H55:H60" si="56">D55/G55</f>
        <v>4.4575562711945439E-2</v>
      </c>
      <c r="I55" s="34">
        <f t="shared" ref="I55:I60" si="57">E55/G55</f>
        <v>3.6235626982853125E-2</v>
      </c>
      <c r="J55" s="35">
        <f t="shared" ref="J55:J60" si="58">F55/G55</f>
        <v>3.8370449042595699E-2</v>
      </c>
      <c r="K55" s="36">
        <f t="shared" ref="K55:K60" si="59">(H55+0.0019)/0.0033</f>
        <v>14.083503852104679</v>
      </c>
      <c r="L55" s="37">
        <f t="shared" ref="L55:L60" si="60">(I55-0.0052)/0.002</f>
        <v>15.517813491426562</v>
      </c>
      <c r="M55" s="36">
        <f t="shared" ref="M55:M60" si="61">(J55-0.002)/0.0027</f>
        <v>13.47053668244285</v>
      </c>
      <c r="N55" s="100">
        <f t="shared" ref="N55" si="62">AVERAGE(K55:K57)</f>
        <v>13.74890708952619</v>
      </c>
      <c r="O55" s="100">
        <f t="shared" si="42"/>
        <v>15.723508490678597</v>
      </c>
      <c r="P55" s="81">
        <f t="shared" si="42"/>
        <v>12.653777012768254</v>
      </c>
      <c r="Q55" s="79"/>
      <c r="R55" s="73"/>
      <c r="S55" s="76"/>
      <c r="T55" s="88"/>
      <c r="U55" s="88"/>
      <c r="V55" s="88"/>
    </row>
    <row r="56" spans="2:22" x14ac:dyDescent="0.3">
      <c r="B56" s="104"/>
      <c r="C56" s="38">
        <v>2</v>
      </c>
      <c r="D56" s="38">
        <v>84302</v>
      </c>
      <c r="E56" s="39">
        <v>74661</v>
      </c>
      <c r="F56" s="39">
        <v>73638</v>
      </c>
      <c r="G56" s="39">
        <v>2023758</v>
      </c>
      <c r="H56" s="40">
        <f t="shared" si="56"/>
        <v>4.1656166399342213E-2</v>
      </c>
      <c r="I56" s="41">
        <f t="shared" si="57"/>
        <v>3.6892256880516346E-2</v>
      </c>
      <c r="J56" s="42">
        <f t="shared" si="58"/>
        <v>3.6386761658261511E-2</v>
      </c>
      <c r="K56" s="43">
        <f t="shared" si="59"/>
        <v>13.198838302830973</v>
      </c>
      <c r="L56" s="44">
        <f t="shared" si="60"/>
        <v>15.846128440258171</v>
      </c>
      <c r="M56" s="43">
        <f t="shared" si="61"/>
        <v>12.735837651207966</v>
      </c>
      <c r="N56" s="101"/>
      <c r="O56" s="101"/>
      <c r="P56" s="82"/>
      <c r="Q56" s="79"/>
      <c r="R56" s="73"/>
      <c r="S56" s="76"/>
      <c r="T56" s="88"/>
      <c r="U56" s="88"/>
      <c r="V56" s="88"/>
    </row>
    <row r="57" spans="2:22" x14ac:dyDescent="0.3">
      <c r="B57" s="105"/>
      <c r="C57" s="45">
        <v>3</v>
      </c>
      <c r="D57" s="45">
        <v>99651</v>
      </c>
      <c r="E57" s="46">
        <v>83030</v>
      </c>
      <c r="F57" s="46">
        <v>76095</v>
      </c>
      <c r="G57" s="46">
        <v>2255443</v>
      </c>
      <c r="H57" s="47">
        <f t="shared" si="56"/>
        <v>4.4182451075021625E-2</v>
      </c>
      <c r="I57" s="48">
        <f t="shared" si="57"/>
        <v>3.6813167080702106E-2</v>
      </c>
      <c r="J57" s="49">
        <f t="shared" si="58"/>
        <v>3.3738383102565661E-2</v>
      </c>
      <c r="K57" s="50">
        <f t="shared" si="59"/>
        <v>13.964379113642917</v>
      </c>
      <c r="L57" s="51">
        <f t="shared" si="60"/>
        <v>15.806583540351054</v>
      </c>
      <c r="M57" s="50">
        <f t="shared" si="61"/>
        <v>11.754956704653948</v>
      </c>
      <c r="N57" s="102"/>
      <c r="O57" s="102"/>
      <c r="P57" s="83"/>
      <c r="Q57" s="80"/>
      <c r="R57" s="74"/>
      <c r="S57" s="77"/>
      <c r="T57" s="89"/>
      <c r="U57" s="89"/>
      <c r="V57" s="89"/>
    </row>
    <row r="58" spans="2:22" x14ac:dyDescent="0.3">
      <c r="B58" s="106" t="s">
        <v>31</v>
      </c>
      <c r="C58" s="66">
        <v>1</v>
      </c>
      <c r="D58" s="16">
        <v>70601</v>
      </c>
      <c r="E58" s="26">
        <v>64831</v>
      </c>
      <c r="F58" s="26">
        <v>60710</v>
      </c>
      <c r="G58" s="26">
        <v>1676865</v>
      </c>
      <c r="H58" s="11">
        <f t="shared" si="56"/>
        <v>4.2102971914853016E-2</v>
      </c>
      <c r="I58" s="12">
        <f t="shared" si="57"/>
        <v>3.8662027056441631E-2</v>
      </c>
      <c r="J58" s="28">
        <f t="shared" si="58"/>
        <v>3.6204464879402931E-2</v>
      </c>
      <c r="K58" s="23">
        <f t="shared" si="59"/>
        <v>13.334233913591822</v>
      </c>
      <c r="L58" s="60">
        <f t="shared" si="60"/>
        <v>16.731013528220817</v>
      </c>
      <c r="M58" s="23">
        <f t="shared" si="61"/>
        <v>12.668320325704787</v>
      </c>
      <c r="N58" s="98">
        <f>AVERAGE(K58,K60)</f>
        <v>13.297516489853061</v>
      </c>
      <c r="O58" s="98">
        <f>AVERAGE(L58,L60)</f>
        <v>15.383019551489305</v>
      </c>
      <c r="P58" s="96">
        <f t="shared" si="42"/>
        <v>13.706523571165397</v>
      </c>
      <c r="Q58" s="78">
        <f t="shared" ref="Q58:S58" si="63">((N58-N61)/N58)*100</f>
        <v>3.6548817852322357</v>
      </c>
      <c r="R58" s="72">
        <f t="shared" si="63"/>
        <v>3.4945829209232713</v>
      </c>
      <c r="S58" s="75">
        <f t="shared" si="63"/>
        <v>8.6511267302949726</v>
      </c>
      <c r="T58" s="87">
        <f t="shared" ref="T58:U58" si="64">_xlfn.STDEV.S(N58:N63)</f>
        <v>0.34365991177482053</v>
      </c>
      <c r="U58" s="87">
        <f t="shared" si="64"/>
        <v>0.38012107101177101</v>
      </c>
      <c r="V58" s="87">
        <f t="shared" si="45"/>
        <v>0.83846510598407309</v>
      </c>
    </row>
    <row r="59" spans="2:22" x14ac:dyDescent="0.3">
      <c r="B59" s="107"/>
      <c r="C59" s="63">
        <v>2</v>
      </c>
      <c r="D59" s="17">
        <v>106197</v>
      </c>
      <c r="E59" s="6">
        <v>91993</v>
      </c>
      <c r="F59" s="6">
        <v>87639</v>
      </c>
      <c r="G59" s="6">
        <v>2090315</v>
      </c>
      <c r="H59" s="1">
        <f t="shared" si="56"/>
        <v>5.0804304614376301E-2</v>
      </c>
      <c r="I59" s="3">
        <f t="shared" si="57"/>
        <v>4.400915651468798E-2</v>
      </c>
      <c r="J59" s="2">
        <f t="shared" si="58"/>
        <v>4.192621686205189E-2</v>
      </c>
      <c r="K59" s="62">
        <f t="shared" si="59"/>
        <v>15.971001398295849</v>
      </c>
      <c r="L59" s="59">
        <f t="shared" si="60"/>
        <v>19.404578257343992</v>
      </c>
      <c r="M59" s="24">
        <f t="shared" si="61"/>
        <v>14.787487726685884</v>
      </c>
      <c r="N59" s="99"/>
      <c r="O59" s="99"/>
      <c r="P59" s="97"/>
      <c r="Q59" s="79"/>
      <c r="R59" s="73"/>
      <c r="S59" s="76"/>
      <c r="T59" s="88"/>
      <c r="U59" s="88"/>
      <c r="V59" s="88"/>
    </row>
    <row r="60" spans="2:22" x14ac:dyDescent="0.3">
      <c r="B60" s="108"/>
      <c r="C60" s="18">
        <v>3</v>
      </c>
      <c r="D60" s="18">
        <v>71397</v>
      </c>
      <c r="E60" s="27">
        <v>56745</v>
      </c>
      <c r="F60" s="27">
        <v>66334</v>
      </c>
      <c r="G60" s="27">
        <v>1705588</v>
      </c>
      <c r="H60" s="29">
        <f t="shared" si="56"/>
        <v>4.1860636918177194E-2</v>
      </c>
      <c r="I60" s="14">
        <f t="shared" si="57"/>
        <v>3.3270051149515589E-2</v>
      </c>
      <c r="J60" s="30">
        <f t="shared" si="58"/>
        <v>3.8892159184984884E-2</v>
      </c>
      <c r="K60" s="25">
        <f t="shared" si="59"/>
        <v>13.2607990661143</v>
      </c>
      <c r="L60" s="15">
        <f t="shared" si="60"/>
        <v>14.035025574757794</v>
      </c>
      <c r="M60" s="25">
        <f t="shared" si="61"/>
        <v>13.663762661105512</v>
      </c>
      <c r="N60" s="99"/>
      <c r="O60" s="99"/>
      <c r="P60" s="97"/>
      <c r="Q60" s="79"/>
      <c r="R60" s="73"/>
      <c r="S60" s="76"/>
      <c r="T60" s="88"/>
      <c r="U60" s="88"/>
      <c r="V60" s="88"/>
    </row>
    <row r="61" spans="2:22" x14ac:dyDescent="0.3">
      <c r="B61" s="106" t="s">
        <v>32</v>
      </c>
      <c r="C61" s="66">
        <v>1</v>
      </c>
      <c r="D61" s="16">
        <v>92293</v>
      </c>
      <c r="E61" s="26">
        <v>86760</v>
      </c>
      <c r="F61" s="26">
        <v>74280</v>
      </c>
      <c r="G61" s="26">
        <v>2160104</v>
      </c>
      <c r="H61" s="11">
        <f t="shared" ref="H61:H66" si="65">D61/G61</f>
        <v>4.272618355412517E-2</v>
      </c>
      <c r="I61" s="12">
        <f t="shared" ref="I61:I66" si="66">E61/G61</f>
        <v>4.0164732809161038E-2</v>
      </c>
      <c r="J61" s="28">
        <f t="shared" ref="J61:J66" si="67">F61/G61</f>
        <v>3.4387233207290022E-2</v>
      </c>
      <c r="K61" s="23">
        <f t="shared" ref="K61:K66" si="68">(H61+0.0019)/0.0033</f>
        <v>13.523085925492476</v>
      </c>
      <c r="L61" s="60">
        <f t="shared" ref="L61:L66" si="69">(I61-0.0052)/0.002</f>
        <v>17.482366404580521</v>
      </c>
      <c r="M61" s="23">
        <f t="shared" ref="M61:M66" si="70">(J61-0.002)/0.0027</f>
        <v>11.995271558255562</v>
      </c>
      <c r="N61" s="98">
        <f>AVERAGE(K61,K63)</f>
        <v>12.811507981777169</v>
      </c>
      <c r="O61" s="98">
        <f>AVERAGE(L61,L63)</f>
        <v>14.845447177520672</v>
      </c>
      <c r="P61" s="96">
        <f t="shared" ref="P61:P67" si="71">AVERAGE(M61:M63)</f>
        <v>12.520754846706126</v>
      </c>
      <c r="Q61" s="79"/>
      <c r="R61" s="73"/>
      <c r="S61" s="76"/>
      <c r="T61" s="88"/>
      <c r="U61" s="88"/>
      <c r="V61" s="88"/>
    </row>
    <row r="62" spans="2:22" x14ac:dyDescent="0.3">
      <c r="B62" s="107"/>
      <c r="C62" s="63">
        <v>2</v>
      </c>
      <c r="D62" s="17">
        <v>125263</v>
      </c>
      <c r="E62" s="6">
        <v>114163</v>
      </c>
      <c r="F62" s="6">
        <v>99349</v>
      </c>
      <c r="G62" s="6">
        <v>2430994</v>
      </c>
      <c r="H62" s="1">
        <f t="shared" si="65"/>
        <v>5.1527482173958472E-2</v>
      </c>
      <c r="I62" s="3">
        <f t="shared" si="66"/>
        <v>4.6961448691358348E-2</v>
      </c>
      <c r="J62" s="2">
        <f t="shared" si="67"/>
        <v>4.0867645086742295E-2</v>
      </c>
      <c r="K62" s="62">
        <f t="shared" si="68"/>
        <v>16.19014611332075</v>
      </c>
      <c r="L62" s="59">
        <f t="shared" si="69"/>
        <v>20.880724345679177</v>
      </c>
      <c r="M62" s="24">
        <f t="shared" si="70"/>
        <v>14.395424106200849</v>
      </c>
      <c r="N62" s="99"/>
      <c r="O62" s="99"/>
      <c r="P62" s="97"/>
      <c r="Q62" s="79"/>
      <c r="R62" s="73"/>
      <c r="S62" s="76"/>
      <c r="T62" s="88"/>
      <c r="U62" s="88"/>
      <c r="V62" s="88"/>
    </row>
    <row r="63" spans="2:22" x14ac:dyDescent="0.3">
      <c r="B63" s="108"/>
      <c r="C63" s="18">
        <v>3</v>
      </c>
      <c r="D63" s="18">
        <v>77025</v>
      </c>
      <c r="E63" s="27">
        <v>59986</v>
      </c>
      <c r="F63" s="27">
        <v>65143</v>
      </c>
      <c r="G63" s="27">
        <v>2025387</v>
      </c>
      <c r="H63" s="29">
        <f t="shared" si="65"/>
        <v>3.8029769125604143E-2</v>
      </c>
      <c r="I63" s="14">
        <f t="shared" si="66"/>
        <v>2.961705590092165E-2</v>
      </c>
      <c r="J63" s="30">
        <f t="shared" si="67"/>
        <v>3.2163235964287322E-2</v>
      </c>
      <c r="K63" s="25">
        <f t="shared" si="68"/>
        <v>12.099930038061862</v>
      </c>
      <c r="L63" s="15">
        <f t="shared" si="69"/>
        <v>12.208527950460825</v>
      </c>
      <c r="M63" s="25">
        <f t="shared" si="70"/>
        <v>11.17156887566197</v>
      </c>
      <c r="N63" s="99"/>
      <c r="O63" s="99"/>
      <c r="P63" s="97"/>
      <c r="Q63" s="80"/>
      <c r="R63" s="74"/>
      <c r="S63" s="77"/>
      <c r="T63" s="89"/>
      <c r="U63" s="89"/>
      <c r="V63" s="89"/>
    </row>
    <row r="64" spans="2:22" x14ac:dyDescent="0.3">
      <c r="B64" s="103" t="s">
        <v>35</v>
      </c>
      <c r="C64" s="31">
        <v>1</v>
      </c>
      <c r="D64" s="31">
        <v>109975</v>
      </c>
      <c r="E64" s="32">
        <v>85825</v>
      </c>
      <c r="F64" s="32">
        <v>95990</v>
      </c>
      <c r="G64" s="32">
        <v>2172750</v>
      </c>
      <c r="H64" s="33">
        <f t="shared" si="65"/>
        <v>5.0615579334944198E-2</v>
      </c>
      <c r="I64" s="34">
        <f t="shared" si="66"/>
        <v>3.9500632838568632E-2</v>
      </c>
      <c r="J64" s="35">
        <f t="shared" si="67"/>
        <v>4.4179035784144519E-2</v>
      </c>
      <c r="K64" s="36">
        <f t="shared" si="68"/>
        <v>15.913811919680059</v>
      </c>
      <c r="L64" s="37">
        <f t="shared" si="69"/>
        <v>17.150316419284312</v>
      </c>
      <c r="M64" s="36">
        <f t="shared" si="70"/>
        <v>15.62186510523871</v>
      </c>
      <c r="N64" s="100">
        <f t="shared" ref="N64" si="72">AVERAGE(K64:K66)</f>
        <v>15.836794947979561</v>
      </c>
      <c r="O64" s="81">
        <f>AVERAGE(L64:L65)</f>
        <v>17.963693330050734</v>
      </c>
      <c r="P64" s="81">
        <f t="shared" si="71"/>
        <v>14.189233979922735</v>
      </c>
      <c r="Q64" s="78">
        <f t="shared" ref="Q64:S64" si="73">((N64-N67)/N64)*100</f>
        <v>11.770849837489905</v>
      </c>
      <c r="R64" s="72">
        <f t="shared" si="73"/>
        <v>10.190891083740121</v>
      </c>
      <c r="S64" s="75">
        <f t="shared" si="73"/>
        <v>15.239996356118123</v>
      </c>
      <c r="T64" s="87">
        <f t="shared" ref="T64:V64" si="74">_xlfn.STDEV.S(N64:N69)</f>
        <v>1.3181356776622906</v>
      </c>
      <c r="U64" s="87">
        <f t="shared" si="74"/>
        <v>1.2944723983629833</v>
      </c>
      <c r="V64" s="87">
        <f t="shared" si="74"/>
        <v>1.5290750980160726</v>
      </c>
    </row>
    <row r="65" spans="2:22" x14ac:dyDescent="0.3">
      <c r="B65" s="104"/>
      <c r="C65" s="38">
        <v>2</v>
      </c>
      <c r="D65" s="38">
        <v>130230</v>
      </c>
      <c r="E65" s="39">
        <v>96245</v>
      </c>
      <c r="F65" s="39">
        <v>86497</v>
      </c>
      <c r="G65" s="39">
        <v>2251127</v>
      </c>
      <c r="H65" s="40">
        <f t="shared" si="65"/>
        <v>5.7851023065335717E-2</v>
      </c>
      <c r="I65" s="41">
        <f t="shared" si="66"/>
        <v>4.2754140481634312E-2</v>
      </c>
      <c r="J65" s="42">
        <f t="shared" si="67"/>
        <v>3.8423865024052394E-2</v>
      </c>
      <c r="K65" s="43">
        <f t="shared" si="68"/>
        <v>18.106370625859309</v>
      </c>
      <c r="L65" s="44">
        <f t="shared" si="69"/>
        <v>18.777070240817157</v>
      </c>
      <c r="M65" s="43">
        <f t="shared" si="70"/>
        <v>13.490320379278662</v>
      </c>
      <c r="N65" s="101"/>
      <c r="O65" s="82"/>
      <c r="P65" s="82"/>
      <c r="Q65" s="79"/>
      <c r="R65" s="73"/>
      <c r="S65" s="76"/>
      <c r="T65" s="88"/>
      <c r="U65" s="88"/>
      <c r="V65" s="88"/>
    </row>
    <row r="66" spans="2:22" x14ac:dyDescent="0.3">
      <c r="B66" s="105"/>
      <c r="C66" s="69">
        <v>3</v>
      </c>
      <c r="D66" s="45">
        <v>84395</v>
      </c>
      <c r="E66" s="46">
        <v>79702</v>
      </c>
      <c r="F66" s="46">
        <v>75904</v>
      </c>
      <c r="G66" s="46">
        <v>1980282</v>
      </c>
      <c r="H66" s="47">
        <f t="shared" si="65"/>
        <v>4.2617667584717731E-2</v>
      </c>
      <c r="I66" s="48">
        <f t="shared" si="66"/>
        <v>4.0247803090670928E-2</v>
      </c>
      <c r="J66" s="49">
        <f t="shared" si="67"/>
        <v>3.8329894429177259E-2</v>
      </c>
      <c r="K66" s="50">
        <f t="shared" si="68"/>
        <v>13.490202298399312</v>
      </c>
      <c r="L66" s="68">
        <f t="shared" si="69"/>
        <v>17.523901545335466</v>
      </c>
      <c r="M66" s="50">
        <f t="shared" si="70"/>
        <v>13.455516455250836</v>
      </c>
      <c r="N66" s="101"/>
      <c r="O66" s="82"/>
      <c r="P66" s="82"/>
      <c r="Q66" s="79"/>
      <c r="R66" s="73"/>
      <c r="S66" s="76"/>
      <c r="T66" s="88"/>
      <c r="U66" s="88"/>
      <c r="V66" s="88"/>
    </row>
    <row r="67" spans="2:22" x14ac:dyDescent="0.3">
      <c r="B67" s="103" t="s">
        <v>36</v>
      </c>
      <c r="C67" s="31">
        <v>1</v>
      </c>
      <c r="D67" s="31">
        <v>121191</v>
      </c>
      <c r="E67" s="32">
        <v>96449</v>
      </c>
      <c r="F67" s="32">
        <v>98350</v>
      </c>
      <c r="G67" s="32">
        <v>2493357</v>
      </c>
      <c r="H67" s="33">
        <f t="shared" ref="H67:H69" si="75">D67/G67</f>
        <v>4.860555467989542E-2</v>
      </c>
      <c r="I67" s="34">
        <f t="shared" ref="I67:I69" si="76">E67/G67</f>
        <v>3.868238683830675E-2</v>
      </c>
      <c r="J67" s="35">
        <f t="shared" ref="J67:J69" si="77">F67/G67</f>
        <v>3.9444812756456456E-2</v>
      </c>
      <c r="K67" s="36">
        <f t="shared" ref="K67:K69" si="78">(H67+0.0019)/0.0033</f>
        <v>15.304713539362249</v>
      </c>
      <c r="L67" s="37">
        <f t="shared" ref="L67:L69" si="79">(I67-0.0052)/0.002</f>
        <v>16.741193419153372</v>
      </c>
      <c r="M67" s="36">
        <f t="shared" ref="M67:M69" si="80">(J67-0.002)/0.0027</f>
        <v>13.868449169057945</v>
      </c>
      <c r="N67" s="100">
        <f t="shared" ref="N67" si="81">AVERAGE(K67:K69)</f>
        <v>13.972669595581699</v>
      </c>
      <c r="O67" s="81">
        <f>AVERAGE(L67:L68)</f>
        <v>16.133032908168175</v>
      </c>
      <c r="P67" s="81">
        <f t="shared" si="71"/>
        <v>12.026795238421435</v>
      </c>
      <c r="Q67" s="79"/>
      <c r="R67" s="73"/>
      <c r="S67" s="76"/>
      <c r="T67" s="88"/>
      <c r="U67" s="88"/>
      <c r="V67" s="88"/>
    </row>
    <row r="68" spans="2:22" x14ac:dyDescent="0.3">
      <c r="B68" s="104"/>
      <c r="C68" s="38">
        <v>2</v>
      </c>
      <c r="D68" s="38">
        <v>95469</v>
      </c>
      <c r="E68" s="39">
        <v>80786</v>
      </c>
      <c r="F68" s="39">
        <v>65124</v>
      </c>
      <c r="G68" s="39">
        <v>2228595</v>
      </c>
      <c r="H68" s="40">
        <f t="shared" si="75"/>
        <v>4.2838200749799764E-2</v>
      </c>
      <c r="I68" s="41">
        <f t="shared" si="76"/>
        <v>3.6249744794365955E-2</v>
      </c>
      <c r="J68" s="42">
        <f t="shared" si="77"/>
        <v>2.9221998613476203E-2</v>
      </c>
      <c r="K68" s="43">
        <f t="shared" si="78"/>
        <v>13.557030530242352</v>
      </c>
      <c r="L68" s="44">
        <f t="shared" si="79"/>
        <v>15.524872397182978</v>
      </c>
      <c r="M68" s="43">
        <f t="shared" si="80"/>
        <v>10.08222170869489</v>
      </c>
      <c r="N68" s="101"/>
      <c r="O68" s="82"/>
      <c r="P68" s="82"/>
      <c r="Q68" s="79"/>
      <c r="R68" s="73"/>
      <c r="S68" s="76"/>
      <c r="T68" s="88"/>
      <c r="U68" s="88"/>
      <c r="V68" s="88"/>
    </row>
    <row r="69" spans="2:22" x14ac:dyDescent="0.3">
      <c r="B69" s="105"/>
      <c r="C69" s="69">
        <v>3</v>
      </c>
      <c r="D69" s="45">
        <v>91927</v>
      </c>
      <c r="E69" s="46">
        <v>90048</v>
      </c>
      <c r="F69" s="46">
        <v>77563</v>
      </c>
      <c r="G69" s="46">
        <v>2232014</v>
      </c>
      <c r="H69" s="47">
        <f t="shared" si="75"/>
        <v>4.1185673566563649E-2</v>
      </c>
      <c r="I69" s="48">
        <f t="shared" si="76"/>
        <v>4.0343832968789621E-2</v>
      </c>
      <c r="J69" s="49">
        <f t="shared" si="77"/>
        <v>3.475023006128098E-2</v>
      </c>
      <c r="K69" s="50">
        <f t="shared" si="78"/>
        <v>13.056264717140499</v>
      </c>
      <c r="L69" s="68">
        <f t="shared" si="79"/>
        <v>17.571916484394809</v>
      </c>
      <c r="M69" s="50">
        <f t="shared" si="80"/>
        <v>12.129714837511473</v>
      </c>
      <c r="N69" s="102"/>
      <c r="O69" s="83"/>
      <c r="P69" s="83"/>
      <c r="Q69" s="80"/>
      <c r="R69" s="74"/>
      <c r="S69" s="77"/>
      <c r="T69" s="89"/>
      <c r="U69" s="89"/>
      <c r="V69" s="89"/>
    </row>
  </sheetData>
  <mergeCells count="159">
    <mergeCell ref="V46:V51"/>
    <mergeCell ref="V52:V57"/>
    <mergeCell ref="V58:V63"/>
    <mergeCell ref="V64:V69"/>
    <mergeCell ref="T46:T51"/>
    <mergeCell ref="T52:T57"/>
    <mergeCell ref="T58:T63"/>
    <mergeCell ref="T64:T69"/>
    <mergeCell ref="U10:U15"/>
    <mergeCell ref="U16:U21"/>
    <mergeCell ref="U22:U27"/>
    <mergeCell ref="U28:U33"/>
    <mergeCell ref="U34:U39"/>
    <mergeCell ref="U40:U45"/>
    <mergeCell ref="U46:U51"/>
    <mergeCell ref="U52:U57"/>
    <mergeCell ref="U58:U63"/>
    <mergeCell ref="U64:U69"/>
    <mergeCell ref="T4:T9"/>
    <mergeCell ref="U4:U9"/>
    <mergeCell ref="V4:V9"/>
    <mergeCell ref="T10:T15"/>
    <mergeCell ref="T16:T21"/>
    <mergeCell ref="T22:T27"/>
    <mergeCell ref="T28:T33"/>
    <mergeCell ref="T34:T39"/>
    <mergeCell ref="T40:T45"/>
    <mergeCell ref="V10:V15"/>
    <mergeCell ref="V16:V21"/>
    <mergeCell ref="V22:V27"/>
    <mergeCell ref="V28:V33"/>
    <mergeCell ref="V34:V39"/>
    <mergeCell ref="V40:V45"/>
    <mergeCell ref="B16:B18"/>
    <mergeCell ref="D2:G2"/>
    <mergeCell ref="K2:M2"/>
    <mergeCell ref="H2:J2"/>
    <mergeCell ref="B19:B21"/>
    <mergeCell ref="B22:B24"/>
    <mergeCell ref="B58:B60"/>
    <mergeCell ref="B61:B63"/>
    <mergeCell ref="B31:B33"/>
    <mergeCell ref="B34:B36"/>
    <mergeCell ref="B37:B39"/>
    <mergeCell ref="B40:B42"/>
    <mergeCell ref="B43:B45"/>
    <mergeCell ref="B55:B57"/>
    <mergeCell ref="B46:B48"/>
    <mergeCell ref="B49:B51"/>
    <mergeCell ref="B52:B54"/>
    <mergeCell ref="N46:N48"/>
    <mergeCell ref="N49:N51"/>
    <mergeCell ref="B64:B66"/>
    <mergeCell ref="B67:B69"/>
    <mergeCell ref="N2:P2"/>
    <mergeCell ref="N4:N6"/>
    <mergeCell ref="O4:O6"/>
    <mergeCell ref="P4:P6"/>
    <mergeCell ref="N7:N9"/>
    <mergeCell ref="N10:N12"/>
    <mergeCell ref="N13:N15"/>
    <mergeCell ref="N16:N18"/>
    <mergeCell ref="N19:N21"/>
    <mergeCell ref="N22:N24"/>
    <mergeCell ref="N25:N27"/>
    <mergeCell ref="N28:N30"/>
    <mergeCell ref="N31:N33"/>
    <mergeCell ref="N34:N36"/>
    <mergeCell ref="B25:B27"/>
    <mergeCell ref="B28:B30"/>
    <mergeCell ref="B4:B6"/>
    <mergeCell ref="B7:B9"/>
    <mergeCell ref="B10:B12"/>
    <mergeCell ref="B13:B15"/>
    <mergeCell ref="N67:N69"/>
    <mergeCell ref="O7:O9"/>
    <mergeCell ref="O10:O12"/>
    <mergeCell ref="O13:O15"/>
    <mergeCell ref="O16:O18"/>
    <mergeCell ref="O19:O21"/>
    <mergeCell ref="O22:O24"/>
    <mergeCell ref="O25:O27"/>
    <mergeCell ref="O28:O30"/>
    <mergeCell ref="O31:O33"/>
    <mergeCell ref="O34:O36"/>
    <mergeCell ref="O37:O39"/>
    <mergeCell ref="O40:O42"/>
    <mergeCell ref="O43:O45"/>
    <mergeCell ref="O46:O48"/>
    <mergeCell ref="O49:O51"/>
    <mergeCell ref="N52:N54"/>
    <mergeCell ref="N55:N57"/>
    <mergeCell ref="N58:N60"/>
    <mergeCell ref="N61:N63"/>
    <mergeCell ref="N64:N66"/>
    <mergeCell ref="N37:N39"/>
    <mergeCell ref="N40:N42"/>
    <mergeCell ref="N43:N45"/>
    <mergeCell ref="O67:O69"/>
    <mergeCell ref="P7:P9"/>
    <mergeCell ref="P10:P12"/>
    <mergeCell ref="P13:P15"/>
    <mergeCell ref="P16:P18"/>
    <mergeCell ref="P19:P21"/>
    <mergeCell ref="P22:P24"/>
    <mergeCell ref="P25:P27"/>
    <mergeCell ref="P28:P30"/>
    <mergeCell ref="P31:P33"/>
    <mergeCell ref="P34:P36"/>
    <mergeCell ref="P37:P39"/>
    <mergeCell ref="P40:P42"/>
    <mergeCell ref="P43:P45"/>
    <mergeCell ref="P46:P48"/>
    <mergeCell ref="P49:P51"/>
    <mergeCell ref="O52:O54"/>
    <mergeCell ref="O55:O57"/>
    <mergeCell ref="O58:O60"/>
    <mergeCell ref="O61:O63"/>
    <mergeCell ref="O64:O66"/>
    <mergeCell ref="Q40:Q45"/>
    <mergeCell ref="Q46:Q51"/>
    <mergeCell ref="Q52:Q57"/>
    <mergeCell ref="Q58:Q63"/>
    <mergeCell ref="Q64:Q69"/>
    <mergeCell ref="P67:P69"/>
    <mergeCell ref="Q2:S2"/>
    <mergeCell ref="Q4:Q9"/>
    <mergeCell ref="R4:R9"/>
    <mergeCell ref="S4:S9"/>
    <mergeCell ref="Q10:Q15"/>
    <mergeCell ref="Q16:Q21"/>
    <mergeCell ref="Q22:Q27"/>
    <mergeCell ref="Q28:Q33"/>
    <mergeCell ref="Q34:Q39"/>
    <mergeCell ref="P52:P54"/>
    <mergeCell ref="P55:P57"/>
    <mergeCell ref="P58:P60"/>
    <mergeCell ref="P61:P63"/>
    <mergeCell ref="P64:P66"/>
    <mergeCell ref="R10:R15"/>
    <mergeCell ref="R16:R21"/>
    <mergeCell ref="R22:R27"/>
    <mergeCell ref="S64:S69"/>
    <mergeCell ref="R52:R57"/>
    <mergeCell ref="R58:R63"/>
    <mergeCell ref="S40:S45"/>
    <mergeCell ref="S46:S51"/>
    <mergeCell ref="S52:S57"/>
    <mergeCell ref="S58:S63"/>
    <mergeCell ref="R64:R69"/>
    <mergeCell ref="S10:S15"/>
    <mergeCell ref="S16:S21"/>
    <mergeCell ref="S22:S27"/>
    <mergeCell ref="S28:S33"/>
    <mergeCell ref="S34:S39"/>
    <mergeCell ref="R28:R33"/>
    <mergeCell ref="R34:R39"/>
    <mergeCell ref="R40:R45"/>
    <mergeCell ref="R46:R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67A0-B511-4F62-AF1E-E02EF9C6218B}">
  <dimension ref="B2:H14"/>
  <sheetViews>
    <sheetView workbookViewId="0">
      <selection activeCell="J11" sqref="J11"/>
    </sheetView>
  </sheetViews>
  <sheetFormatPr defaultRowHeight="14.4" x14ac:dyDescent="0.3"/>
  <cols>
    <col min="3" max="3" width="16.6640625" customWidth="1"/>
    <col min="4" max="4" width="15.21875" customWidth="1"/>
    <col min="5" max="5" width="11.88671875" customWidth="1"/>
  </cols>
  <sheetData>
    <row r="2" spans="2:8" x14ac:dyDescent="0.3">
      <c r="C2" t="s">
        <v>38</v>
      </c>
      <c r="D2" t="s">
        <v>38</v>
      </c>
      <c r="E2" t="s">
        <v>38</v>
      </c>
      <c r="F2" t="s">
        <v>39</v>
      </c>
      <c r="G2" t="s">
        <v>39</v>
      </c>
      <c r="H2" t="s">
        <v>39</v>
      </c>
    </row>
    <row r="3" spans="2:8" x14ac:dyDescent="0.3">
      <c r="B3" t="s">
        <v>0</v>
      </c>
      <c r="C3" t="s">
        <v>40</v>
      </c>
      <c r="D3" t="s">
        <v>41</v>
      </c>
      <c r="E3" t="s">
        <v>42</v>
      </c>
      <c r="F3" t="s">
        <v>40</v>
      </c>
      <c r="G3" t="s">
        <v>41</v>
      </c>
      <c r="H3" t="s">
        <v>43</v>
      </c>
    </row>
    <row r="4" spans="2:8" x14ac:dyDescent="0.3">
      <c r="B4" t="s">
        <v>44</v>
      </c>
      <c r="C4">
        <v>14.128866393969505</v>
      </c>
      <c r="D4">
        <v>15.992863093612964</v>
      </c>
      <c r="E4">
        <v>12.914465873893665</v>
      </c>
      <c r="F4">
        <v>1.5516864477897949</v>
      </c>
      <c r="G4">
        <v>2.2152588963485358</v>
      </c>
      <c r="H4">
        <v>1.39418120736546</v>
      </c>
    </row>
    <row r="5" spans="2:8" x14ac:dyDescent="0.3">
      <c r="B5" t="s">
        <v>45</v>
      </c>
      <c r="C5">
        <v>14.841628766805817</v>
      </c>
      <c r="D5">
        <v>12.574336058285308</v>
      </c>
      <c r="E5">
        <v>16.275742026444277</v>
      </c>
      <c r="F5">
        <v>2.6820091246067594</v>
      </c>
      <c r="G5">
        <v>3.2178429534366888</v>
      </c>
      <c r="H5">
        <v>2.6561860504092971</v>
      </c>
    </row>
    <row r="6" spans="2:8" x14ac:dyDescent="0.3">
      <c r="B6" t="s">
        <v>46</v>
      </c>
      <c r="C6">
        <v>7.9863117762780513</v>
      </c>
      <c r="D6">
        <v>9.2345671055349197</v>
      </c>
      <c r="E6">
        <v>9.518751630018329</v>
      </c>
      <c r="F6">
        <v>0.82958660772516246</v>
      </c>
      <c r="G6">
        <v>1.138140037436886</v>
      </c>
      <c r="H6">
        <v>1.0987102497589107</v>
      </c>
    </row>
    <row r="7" spans="2:8" x14ac:dyDescent="0.3">
      <c r="B7" t="s">
        <v>47</v>
      </c>
      <c r="C7">
        <v>8.7820767902272081</v>
      </c>
      <c r="D7">
        <v>9.8068425512087476</v>
      </c>
      <c r="E7">
        <v>6.3787763299099796</v>
      </c>
      <c r="F7">
        <v>0.93645302940369657</v>
      </c>
      <c r="G7">
        <v>1.2549725328008765</v>
      </c>
      <c r="H7">
        <v>0.5608109877175631</v>
      </c>
    </row>
    <row r="8" spans="2:8" x14ac:dyDescent="0.3">
      <c r="B8" t="s">
        <v>48</v>
      </c>
      <c r="C8">
        <v>5.7605513548782046</v>
      </c>
      <c r="D8">
        <v>5.8890156985924103</v>
      </c>
      <c r="E8">
        <v>9.8133063829399205</v>
      </c>
      <c r="F8">
        <v>0.58166821374369382</v>
      </c>
      <c r="G8">
        <v>0.77135924533325229</v>
      </c>
      <c r="H8">
        <v>0.69198175643991844</v>
      </c>
    </row>
    <row r="9" spans="2:8" x14ac:dyDescent="0.3">
      <c r="B9" t="s">
        <v>49</v>
      </c>
      <c r="C9">
        <v>7.4064216415578237</v>
      </c>
      <c r="D9">
        <v>11.823778923018345</v>
      </c>
      <c r="E9">
        <v>-10.146615773034402</v>
      </c>
      <c r="F9">
        <v>0.70536282659302307</v>
      </c>
      <c r="G9">
        <v>1.4049650052695524</v>
      </c>
      <c r="H9">
        <v>0.55833670948887504</v>
      </c>
    </row>
    <row r="10" spans="2:8" x14ac:dyDescent="0.3">
      <c r="B10" t="s">
        <v>51</v>
      </c>
      <c r="C10">
        <v>12.985173375063578</v>
      </c>
      <c r="D10">
        <v>16.887971942588649</v>
      </c>
      <c r="E10">
        <v>22.705773001354643</v>
      </c>
      <c r="F10">
        <v>1.9174537613109066</v>
      </c>
      <c r="G10">
        <v>3.9577118697035698</v>
      </c>
      <c r="H10">
        <v>3.7351049688728328</v>
      </c>
    </row>
    <row r="11" spans="2:8" x14ac:dyDescent="0.3">
      <c r="B11" t="s">
        <v>52</v>
      </c>
      <c r="C11">
        <v>16.101091898635392</v>
      </c>
      <c r="D11">
        <v>19.273299222969847</v>
      </c>
      <c r="E11">
        <v>22.48153737121266</v>
      </c>
      <c r="F11">
        <v>1.6910709914077384</v>
      </c>
      <c r="G11">
        <v>2.3987015577703725</v>
      </c>
      <c r="H11">
        <v>1.7704692608428507</v>
      </c>
    </row>
    <row r="12" spans="2:8" x14ac:dyDescent="0.3">
      <c r="B12" t="s">
        <v>53</v>
      </c>
      <c r="C12">
        <v>22.152317495531985</v>
      </c>
      <c r="D12">
        <v>14.583066648606552</v>
      </c>
      <c r="E12">
        <v>16.933872624152198</v>
      </c>
      <c r="F12">
        <v>2.7664744159886849</v>
      </c>
      <c r="G12">
        <v>1.8981885398565415</v>
      </c>
      <c r="H12">
        <v>1.8240532143227006</v>
      </c>
    </row>
    <row r="13" spans="2:8" x14ac:dyDescent="0.3">
      <c r="B13" t="s">
        <v>54</v>
      </c>
      <c r="C13">
        <v>3.6548817852322357</v>
      </c>
      <c r="D13">
        <v>3.4945829209232713</v>
      </c>
      <c r="E13">
        <v>8.6511267302949726</v>
      </c>
      <c r="F13">
        <v>0.34365991177482053</v>
      </c>
      <c r="G13">
        <v>0.38012107101177101</v>
      </c>
      <c r="H13">
        <v>0.83846510598407309</v>
      </c>
    </row>
    <row r="14" spans="2:8" x14ac:dyDescent="0.3">
      <c r="B14" t="s">
        <v>50</v>
      </c>
      <c r="C14">
        <v>11.770849837489905</v>
      </c>
      <c r="D14">
        <v>10.190891083740121</v>
      </c>
      <c r="E14">
        <v>15.239996356118123</v>
      </c>
      <c r="F14">
        <v>1.3181356776622906</v>
      </c>
      <c r="G14">
        <v>1.2944723983629833</v>
      </c>
      <c r="H14">
        <v>1.5290750980160726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E48B-59BD-4F4E-91B2-8EABBC713FB3}">
  <dimension ref="A1"/>
  <sheetViews>
    <sheetView workbookViewId="0">
      <selection activeCell="L21" sqref="L2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BTX</vt:lpstr>
      <vt:lpstr>Folha1</vt:lpstr>
      <vt:lpstr>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Susana Moreira</dc:creator>
  <cp:lastModifiedBy>Alice Chernaya</cp:lastModifiedBy>
  <dcterms:created xsi:type="dcterms:W3CDTF">2026-02-19T10:19:44Z</dcterms:created>
  <dcterms:modified xsi:type="dcterms:W3CDTF">2026-07-07T16:52:24Z</dcterms:modified>
</cp:coreProperties>
</file>